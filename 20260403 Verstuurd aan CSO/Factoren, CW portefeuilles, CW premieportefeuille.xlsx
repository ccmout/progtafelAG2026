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renkels-my.sharepoint.com/personal/frank_tesselaar_sprenkels_nl/Documents/Documenten/3. Prognosetafels werkmap/Deelopdracht 7/"/>
    </mc:Choice>
  </mc:AlternateContent>
  <xr:revisionPtr revIDLastSave="2" documentId="8_{94205AF1-B186-4726-8BDE-C55C0676A65C}" xr6:coauthVersionLast="47" xr6:coauthVersionMax="47" xr10:uidLastSave="{09D602D9-7D64-45BB-8AF4-94BDA65EEF4C}"/>
  <bookViews>
    <workbookView xWindow="-4455" yWindow="-16320" windowWidth="38640" windowHeight="15720" activeTab="2" xr2:uid="{BD0B785D-2A2B-443A-BAA2-79B2499831A3}"/>
  </bookViews>
  <sheets>
    <sheet name="Factoren" sheetId="1" r:id="rId1"/>
    <sheet name="CW portefeuille" sheetId="3" r:id="rId2"/>
    <sheet name="CW Premieportefeuille" sheetId="4" r:id="rId3"/>
  </sheets>
  <definedNames>
    <definedName name="_xlnm._FilterDatabase" localSheetId="1" hidden="1">'CW portefeuille'!$A$7:$O$133</definedName>
    <definedName name="_xlnm._FilterDatabase" localSheetId="2" hidden="1">'CW Premieportefeuille'!$A$7:$Q$7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4" l="1"/>
  <c r="M26" i="4"/>
  <c r="H28" i="4"/>
  <c r="D21" i="4"/>
  <c r="D25" i="4" s="1"/>
  <c r="E21" i="4"/>
  <c r="E25" i="4" s="1"/>
  <c r="F21" i="4"/>
  <c r="F25" i="4" s="1"/>
  <c r="G21" i="4"/>
  <c r="G25" i="4" s="1"/>
  <c r="H21" i="4"/>
  <c r="H25" i="4" s="1"/>
  <c r="I21" i="4"/>
  <c r="I25" i="4" s="1"/>
  <c r="J21" i="4"/>
  <c r="J25" i="4" s="1"/>
  <c r="K21" i="4"/>
  <c r="K25" i="4" s="1"/>
  <c r="L21" i="4"/>
  <c r="L25" i="4" s="1"/>
  <c r="M21" i="4"/>
  <c r="M25" i="4" s="1"/>
  <c r="N21" i="4"/>
  <c r="N25" i="4" s="1"/>
  <c r="O21" i="4"/>
  <c r="P21" i="4"/>
  <c r="P25" i="4" s="1"/>
  <c r="Q21" i="4"/>
  <c r="Q25" i="4" s="1"/>
  <c r="D22" i="4"/>
  <c r="D26" i="4" s="1"/>
  <c r="E22" i="4"/>
  <c r="E26" i="4" s="1"/>
  <c r="F22" i="4"/>
  <c r="F26" i="4" s="1"/>
  <c r="G22" i="4"/>
  <c r="G26" i="4" s="1"/>
  <c r="H22" i="4"/>
  <c r="H26" i="4" s="1"/>
  <c r="I22" i="4"/>
  <c r="I26" i="4" s="1"/>
  <c r="J22" i="4"/>
  <c r="J26" i="4" s="1"/>
  <c r="K22" i="4"/>
  <c r="K26" i="4" s="1"/>
  <c r="L22" i="4"/>
  <c r="L26" i="4" s="1"/>
  <c r="M22" i="4"/>
  <c r="N22" i="4"/>
  <c r="N26" i="4" s="1"/>
  <c r="O22" i="4"/>
  <c r="O26" i="4" s="1"/>
  <c r="P22" i="4"/>
  <c r="P26" i="4" s="1"/>
  <c r="Q22" i="4"/>
  <c r="Q26" i="4" s="1"/>
  <c r="D23" i="4"/>
  <c r="D27" i="4" s="1"/>
  <c r="E23" i="4"/>
  <c r="E27" i="4" s="1"/>
  <c r="F23" i="4"/>
  <c r="F27" i="4" s="1"/>
  <c r="G23" i="4"/>
  <c r="G27" i="4" s="1"/>
  <c r="H23" i="4"/>
  <c r="H27" i="4" s="1"/>
  <c r="I23" i="4"/>
  <c r="I27" i="4" s="1"/>
  <c r="J23" i="4"/>
  <c r="J27" i="4" s="1"/>
  <c r="K23" i="4"/>
  <c r="K27" i="4" s="1"/>
  <c r="L23" i="4"/>
  <c r="L27" i="4" s="1"/>
  <c r="M23" i="4"/>
  <c r="M27" i="4" s="1"/>
  <c r="N23" i="4"/>
  <c r="N27" i="4" s="1"/>
  <c r="O23" i="4"/>
  <c r="O27" i="4" s="1"/>
  <c r="P23" i="4"/>
  <c r="P27" i="4" s="1"/>
  <c r="Q23" i="4"/>
  <c r="Q27" i="4" s="1"/>
  <c r="D24" i="4"/>
  <c r="D28" i="4" s="1"/>
  <c r="E24" i="4"/>
  <c r="E28" i="4" s="1"/>
  <c r="F24" i="4"/>
  <c r="F28" i="4" s="1"/>
  <c r="G24" i="4"/>
  <c r="G28" i="4" s="1"/>
  <c r="H24" i="4"/>
  <c r="I24" i="4"/>
  <c r="I28" i="4" s="1"/>
  <c r="J24" i="4"/>
  <c r="J28" i="4" s="1"/>
  <c r="K24" i="4"/>
  <c r="K28" i="4" s="1"/>
  <c r="L24" i="4"/>
  <c r="L28" i="4" s="1"/>
  <c r="M24" i="4"/>
  <c r="M28" i="4" s="1"/>
  <c r="N24" i="4"/>
  <c r="N28" i="4" s="1"/>
  <c r="O24" i="4"/>
  <c r="O28" i="4" s="1"/>
  <c r="P24" i="4"/>
  <c r="P28" i="4" s="1"/>
  <c r="Q24" i="4"/>
  <c r="Q28" i="4" s="1"/>
  <c r="C22" i="4"/>
  <c r="C26" i="4" s="1"/>
  <c r="C23" i="4"/>
  <c r="C27" i="4" s="1"/>
  <c r="C24" i="4"/>
  <c r="C28" i="4" s="1"/>
  <c r="C21" i="4"/>
  <c r="C25" i="4" s="1"/>
  <c r="H19" i="4"/>
  <c r="C18" i="4"/>
  <c r="D13" i="4"/>
  <c r="D17" i="4" s="1"/>
  <c r="E13" i="4"/>
  <c r="E17" i="4" s="1"/>
  <c r="F13" i="4"/>
  <c r="F17" i="4" s="1"/>
  <c r="G13" i="4"/>
  <c r="G17" i="4" s="1"/>
  <c r="H13" i="4"/>
  <c r="H17" i="4" s="1"/>
  <c r="I13" i="4"/>
  <c r="I17" i="4" s="1"/>
  <c r="J13" i="4"/>
  <c r="J17" i="4" s="1"/>
  <c r="K13" i="4"/>
  <c r="K17" i="4" s="1"/>
  <c r="L13" i="4"/>
  <c r="L17" i="4" s="1"/>
  <c r="M13" i="4"/>
  <c r="M17" i="4" s="1"/>
  <c r="N13" i="4"/>
  <c r="N17" i="4" s="1"/>
  <c r="O13" i="4"/>
  <c r="O17" i="4" s="1"/>
  <c r="P13" i="4"/>
  <c r="P17" i="4" s="1"/>
  <c r="Q13" i="4"/>
  <c r="Q17" i="4" s="1"/>
  <c r="D14" i="4"/>
  <c r="D18" i="4" s="1"/>
  <c r="E14" i="4"/>
  <c r="E18" i="4" s="1"/>
  <c r="F14" i="4"/>
  <c r="F18" i="4" s="1"/>
  <c r="G14" i="4"/>
  <c r="G18" i="4" s="1"/>
  <c r="H14" i="4"/>
  <c r="H18" i="4" s="1"/>
  <c r="I14" i="4"/>
  <c r="I18" i="4" s="1"/>
  <c r="J14" i="4"/>
  <c r="J18" i="4" s="1"/>
  <c r="K14" i="4"/>
  <c r="K18" i="4" s="1"/>
  <c r="L14" i="4"/>
  <c r="L18" i="4" s="1"/>
  <c r="M14" i="4"/>
  <c r="M18" i="4" s="1"/>
  <c r="N14" i="4"/>
  <c r="N18" i="4" s="1"/>
  <c r="O14" i="4"/>
  <c r="O18" i="4" s="1"/>
  <c r="P14" i="4"/>
  <c r="P18" i="4" s="1"/>
  <c r="Q14" i="4"/>
  <c r="Q18" i="4" s="1"/>
  <c r="D15" i="4"/>
  <c r="D19" i="4" s="1"/>
  <c r="E15" i="4"/>
  <c r="E19" i="4" s="1"/>
  <c r="F15" i="4"/>
  <c r="F19" i="4" s="1"/>
  <c r="G15" i="4"/>
  <c r="G19" i="4" s="1"/>
  <c r="H15" i="4"/>
  <c r="I15" i="4"/>
  <c r="I19" i="4" s="1"/>
  <c r="J15" i="4"/>
  <c r="J19" i="4" s="1"/>
  <c r="K15" i="4"/>
  <c r="K19" i="4" s="1"/>
  <c r="L15" i="4"/>
  <c r="L19" i="4" s="1"/>
  <c r="M15" i="4"/>
  <c r="M19" i="4" s="1"/>
  <c r="N15" i="4"/>
  <c r="N19" i="4" s="1"/>
  <c r="O15" i="4"/>
  <c r="O19" i="4" s="1"/>
  <c r="P15" i="4"/>
  <c r="P19" i="4" s="1"/>
  <c r="Q15" i="4"/>
  <c r="Q19" i="4" s="1"/>
  <c r="D16" i="4"/>
  <c r="D20" i="4" s="1"/>
  <c r="E16" i="4"/>
  <c r="E20" i="4" s="1"/>
  <c r="F16" i="4"/>
  <c r="F20" i="4" s="1"/>
  <c r="G16" i="4"/>
  <c r="G20" i="4" s="1"/>
  <c r="H16" i="4"/>
  <c r="H20" i="4" s="1"/>
  <c r="I16" i="4"/>
  <c r="I20" i="4" s="1"/>
  <c r="J16" i="4"/>
  <c r="J20" i="4" s="1"/>
  <c r="K16" i="4"/>
  <c r="K20" i="4" s="1"/>
  <c r="L16" i="4"/>
  <c r="L20" i="4" s="1"/>
  <c r="M16" i="4"/>
  <c r="M20" i="4" s="1"/>
  <c r="N16" i="4"/>
  <c r="N20" i="4" s="1"/>
  <c r="O16" i="4"/>
  <c r="O20" i="4" s="1"/>
  <c r="P16" i="4"/>
  <c r="P20" i="4" s="1"/>
  <c r="Q16" i="4"/>
  <c r="Q20" i="4" s="1"/>
  <c r="C14" i="4"/>
  <c r="C15" i="4"/>
  <c r="C19" i="4" s="1"/>
  <c r="C16" i="4"/>
  <c r="C20" i="4" s="1"/>
  <c r="C13" i="4"/>
  <c r="C17" i="4" s="1"/>
  <c r="F128" i="3"/>
  <c r="H128" i="3"/>
  <c r="I128" i="3"/>
  <c r="F129" i="3"/>
  <c r="H129" i="3"/>
  <c r="I129" i="3"/>
  <c r="F130" i="3"/>
  <c r="H130" i="3"/>
  <c r="I130" i="3"/>
  <c r="E131" i="3"/>
  <c r="J131" i="3"/>
  <c r="E132" i="3"/>
  <c r="J132" i="3"/>
  <c r="E133" i="3"/>
  <c r="J133" i="3"/>
  <c r="D131" i="3"/>
  <c r="D132" i="3"/>
  <c r="D133" i="3"/>
  <c r="F122" i="3"/>
  <c r="H122" i="3"/>
  <c r="I122" i="3"/>
  <c r="F123" i="3"/>
  <c r="H123" i="3"/>
  <c r="I123" i="3"/>
  <c r="F124" i="3"/>
  <c r="H124" i="3"/>
  <c r="I124" i="3"/>
  <c r="E125" i="3"/>
  <c r="J125" i="3"/>
  <c r="E126" i="3"/>
  <c r="J126" i="3"/>
  <c r="E127" i="3"/>
  <c r="J127" i="3"/>
  <c r="D125" i="3"/>
  <c r="D126" i="3"/>
  <c r="D127" i="3"/>
  <c r="F116" i="3"/>
  <c r="H116" i="3"/>
  <c r="I116" i="3"/>
  <c r="F117" i="3"/>
  <c r="H117" i="3"/>
  <c r="I117" i="3"/>
  <c r="F118" i="3"/>
  <c r="H118" i="3"/>
  <c r="I118" i="3"/>
  <c r="E119" i="3"/>
  <c r="J119" i="3"/>
  <c r="E120" i="3"/>
  <c r="J120" i="3"/>
  <c r="E121" i="3"/>
  <c r="J121" i="3"/>
  <c r="D119" i="3"/>
  <c r="D120" i="3"/>
  <c r="D121" i="3"/>
  <c r="F110" i="3"/>
  <c r="H110" i="3"/>
  <c r="I110" i="3"/>
  <c r="F111" i="3"/>
  <c r="H111" i="3"/>
  <c r="I111" i="3"/>
  <c r="F112" i="3"/>
  <c r="H112" i="3"/>
  <c r="I112" i="3"/>
  <c r="E113" i="3"/>
  <c r="J113" i="3"/>
  <c r="E114" i="3"/>
  <c r="J114" i="3"/>
  <c r="E115" i="3"/>
  <c r="J115" i="3"/>
  <c r="D113" i="3"/>
  <c r="D114" i="3"/>
  <c r="D115" i="3"/>
  <c r="E104" i="3"/>
  <c r="E128" i="3" s="1"/>
  <c r="F104" i="3"/>
  <c r="G104" i="3"/>
  <c r="G128" i="3" s="1"/>
  <c r="H104" i="3"/>
  <c r="I104" i="3"/>
  <c r="J104" i="3"/>
  <c r="J128" i="3" s="1"/>
  <c r="K104" i="3"/>
  <c r="K128" i="3" s="1"/>
  <c r="L104" i="3"/>
  <c r="L128" i="3" s="1"/>
  <c r="M104" i="3"/>
  <c r="M128" i="3" s="1"/>
  <c r="N104" i="3"/>
  <c r="N128" i="3" s="1"/>
  <c r="O104" i="3"/>
  <c r="O128" i="3" s="1"/>
  <c r="E105" i="3"/>
  <c r="E129" i="3" s="1"/>
  <c r="F105" i="3"/>
  <c r="G105" i="3"/>
  <c r="G129" i="3" s="1"/>
  <c r="H105" i="3"/>
  <c r="I105" i="3"/>
  <c r="J105" i="3"/>
  <c r="J129" i="3" s="1"/>
  <c r="K105" i="3"/>
  <c r="K129" i="3" s="1"/>
  <c r="L105" i="3"/>
  <c r="L129" i="3" s="1"/>
  <c r="M105" i="3"/>
  <c r="M129" i="3" s="1"/>
  <c r="N105" i="3"/>
  <c r="N129" i="3" s="1"/>
  <c r="O105" i="3"/>
  <c r="O129" i="3" s="1"/>
  <c r="E106" i="3"/>
  <c r="E130" i="3" s="1"/>
  <c r="F106" i="3"/>
  <c r="G106" i="3"/>
  <c r="G130" i="3" s="1"/>
  <c r="H106" i="3"/>
  <c r="I106" i="3"/>
  <c r="J106" i="3"/>
  <c r="J130" i="3" s="1"/>
  <c r="K106" i="3"/>
  <c r="K130" i="3" s="1"/>
  <c r="L106" i="3"/>
  <c r="L130" i="3" s="1"/>
  <c r="M106" i="3"/>
  <c r="M130" i="3" s="1"/>
  <c r="N106" i="3"/>
  <c r="N130" i="3" s="1"/>
  <c r="O106" i="3"/>
  <c r="O130" i="3" s="1"/>
  <c r="E107" i="3"/>
  <c r="F107" i="3"/>
  <c r="F131" i="3" s="1"/>
  <c r="G107" i="3"/>
  <c r="G131" i="3" s="1"/>
  <c r="H107" i="3"/>
  <c r="H131" i="3" s="1"/>
  <c r="I107" i="3"/>
  <c r="I131" i="3" s="1"/>
  <c r="J107" i="3"/>
  <c r="K107" i="3"/>
  <c r="K131" i="3" s="1"/>
  <c r="L107" i="3"/>
  <c r="L131" i="3" s="1"/>
  <c r="M107" i="3"/>
  <c r="M131" i="3" s="1"/>
  <c r="N107" i="3"/>
  <c r="N131" i="3" s="1"/>
  <c r="O107" i="3"/>
  <c r="O131" i="3" s="1"/>
  <c r="E108" i="3"/>
  <c r="F108" i="3"/>
  <c r="F132" i="3" s="1"/>
  <c r="G108" i="3"/>
  <c r="G132" i="3" s="1"/>
  <c r="H108" i="3"/>
  <c r="H132" i="3" s="1"/>
  <c r="I108" i="3"/>
  <c r="I132" i="3" s="1"/>
  <c r="J108" i="3"/>
  <c r="K108" i="3"/>
  <c r="K132" i="3" s="1"/>
  <c r="L108" i="3"/>
  <c r="L132" i="3" s="1"/>
  <c r="M108" i="3"/>
  <c r="M132" i="3" s="1"/>
  <c r="N108" i="3"/>
  <c r="N132" i="3" s="1"/>
  <c r="O108" i="3"/>
  <c r="O132" i="3" s="1"/>
  <c r="E109" i="3"/>
  <c r="F109" i="3"/>
  <c r="F133" i="3" s="1"/>
  <c r="G109" i="3"/>
  <c r="G133" i="3" s="1"/>
  <c r="H109" i="3"/>
  <c r="H133" i="3" s="1"/>
  <c r="I109" i="3"/>
  <c r="I133" i="3" s="1"/>
  <c r="J109" i="3"/>
  <c r="K109" i="3"/>
  <c r="K133" i="3" s="1"/>
  <c r="L109" i="3"/>
  <c r="L133" i="3" s="1"/>
  <c r="M109" i="3"/>
  <c r="M133" i="3" s="1"/>
  <c r="N109" i="3"/>
  <c r="N133" i="3" s="1"/>
  <c r="O109" i="3"/>
  <c r="O133" i="3" s="1"/>
  <c r="D105" i="3"/>
  <c r="D129" i="3" s="1"/>
  <c r="D106" i="3"/>
  <c r="D130" i="3" s="1"/>
  <c r="D107" i="3"/>
  <c r="D108" i="3"/>
  <c r="D109" i="3"/>
  <c r="D104" i="3"/>
  <c r="D128" i="3" s="1"/>
  <c r="E98" i="3"/>
  <c r="E122" i="3" s="1"/>
  <c r="F98" i="3"/>
  <c r="G98" i="3"/>
  <c r="G122" i="3" s="1"/>
  <c r="H98" i="3"/>
  <c r="I98" i="3"/>
  <c r="J98" i="3"/>
  <c r="J122" i="3" s="1"/>
  <c r="K98" i="3"/>
  <c r="K122" i="3" s="1"/>
  <c r="L98" i="3"/>
  <c r="L122" i="3" s="1"/>
  <c r="M98" i="3"/>
  <c r="M122" i="3" s="1"/>
  <c r="N98" i="3"/>
  <c r="N122" i="3" s="1"/>
  <c r="O98" i="3"/>
  <c r="O122" i="3" s="1"/>
  <c r="E99" i="3"/>
  <c r="E123" i="3" s="1"/>
  <c r="F99" i="3"/>
  <c r="G99" i="3"/>
  <c r="G123" i="3" s="1"/>
  <c r="H99" i="3"/>
  <c r="I99" i="3"/>
  <c r="J99" i="3"/>
  <c r="J123" i="3" s="1"/>
  <c r="K99" i="3"/>
  <c r="K123" i="3" s="1"/>
  <c r="L99" i="3"/>
  <c r="L123" i="3" s="1"/>
  <c r="M99" i="3"/>
  <c r="M123" i="3" s="1"/>
  <c r="N99" i="3"/>
  <c r="N123" i="3" s="1"/>
  <c r="O99" i="3"/>
  <c r="O123" i="3" s="1"/>
  <c r="E100" i="3"/>
  <c r="E124" i="3" s="1"/>
  <c r="F100" i="3"/>
  <c r="G100" i="3"/>
  <c r="G124" i="3" s="1"/>
  <c r="H100" i="3"/>
  <c r="I100" i="3"/>
  <c r="J100" i="3"/>
  <c r="J124" i="3" s="1"/>
  <c r="K100" i="3"/>
  <c r="K124" i="3" s="1"/>
  <c r="L100" i="3"/>
  <c r="L124" i="3" s="1"/>
  <c r="M100" i="3"/>
  <c r="M124" i="3" s="1"/>
  <c r="N100" i="3"/>
  <c r="N124" i="3" s="1"/>
  <c r="O100" i="3"/>
  <c r="O124" i="3" s="1"/>
  <c r="E101" i="3"/>
  <c r="F101" i="3"/>
  <c r="F125" i="3" s="1"/>
  <c r="G101" i="3"/>
  <c r="G125" i="3" s="1"/>
  <c r="H101" i="3"/>
  <c r="H125" i="3" s="1"/>
  <c r="I101" i="3"/>
  <c r="I125" i="3" s="1"/>
  <c r="J101" i="3"/>
  <c r="K101" i="3"/>
  <c r="K125" i="3" s="1"/>
  <c r="L101" i="3"/>
  <c r="L125" i="3" s="1"/>
  <c r="M101" i="3"/>
  <c r="M125" i="3" s="1"/>
  <c r="N101" i="3"/>
  <c r="N125" i="3" s="1"/>
  <c r="O101" i="3"/>
  <c r="O125" i="3" s="1"/>
  <c r="E102" i="3"/>
  <c r="F102" i="3"/>
  <c r="F126" i="3" s="1"/>
  <c r="G102" i="3"/>
  <c r="G126" i="3" s="1"/>
  <c r="H102" i="3"/>
  <c r="H126" i="3" s="1"/>
  <c r="I102" i="3"/>
  <c r="I126" i="3" s="1"/>
  <c r="J102" i="3"/>
  <c r="K102" i="3"/>
  <c r="K126" i="3" s="1"/>
  <c r="L102" i="3"/>
  <c r="L126" i="3" s="1"/>
  <c r="M102" i="3"/>
  <c r="M126" i="3" s="1"/>
  <c r="N102" i="3"/>
  <c r="N126" i="3" s="1"/>
  <c r="O102" i="3"/>
  <c r="O126" i="3" s="1"/>
  <c r="E103" i="3"/>
  <c r="F103" i="3"/>
  <c r="F127" i="3" s="1"/>
  <c r="G103" i="3"/>
  <c r="G127" i="3" s="1"/>
  <c r="H103" i="3"/>
  <c r="H127" i="3" s="1"/>
  <c r="I103" i="3"/>
  <c r="I127" i="3" s="1"/>
  <c r="J103" i="3"/>
  <c r="K103" i="3"/>
  <c r="K127" i="3" s="1"/>
  <c r="L103" i="3"/>
  <c r="L127" i="3" s="1"/>
  <c r="M103" i="3"/>
  <c r="M127" i="3" s="1"/>
  <c r="N103" i="3"/>
  <c r="N127" i="3" s="1"/>
  <c r="O103" i="3"/>
  <c r="O127" i="3" s="1"/>
  <c r="D99" i="3"/>
  <c r="D123" i="3" s="1"/>
  <c r="D100" i="3"/>
  <c r="D124" i="3" s="1"/>
  <c r="D101" i="3"/>
  <c r="D102" i="3"/>
  <c r="D103" i="3"/>
  <c r="D98" i="3"/>
  <c r="D122" i="3" s="1"/>
  <c r="E92" i="3"/>
  <c r="E116" i="3" s="1"/>
  <c r="F92" i="3"/>
  <c r="G92" i="3"/>
  <c r="G116" i="3" s="1"/>
  <c r="H92" i="3"/>
  <c r="I92" i="3"/>
  <c r="J92" i="3"/>
  <c r="J116" i="3" s="1"/>
  <c r="K92" i="3"/>
  <c r="K116" i="3" s="1"/>
  <c r="L92" i="3"/>
  <c r="L116" i="3" s="1"/>
  <c r="M92" i="3"/>
  <c r="M116" i="3" s="1"/>
  <c r="N92" i="3"/>
  <c r="N116" i="3" s="1"/>
  <c r="O92" i="3"/>
  <c r="O116" i="3" s="1"/>
  <c r="E93" i="3"/>
  <c r="E117" i="3" s="1"/>
  <c r="F93" i="3"/>
  <c r="G93" i="3"/>
  <c r="G117" i="3" s="1"/>
  <c r="H93" i="3"/>
  <c r="I93" i="3"/>
  <c r="J93" i="3"/>
  <c r="J117" i="3" s="1"/>
  <c r="K93" i="3"/>
  <c r="K117" i="3" s="1"/>
  <c r="L93" i="3"/>
  <c r="L117" i="3" s="1"/>
  <c r="M93" i="3"/>
  <c r="M117" i="3" s="1"/>
  <c r="N93" i="3"/>
  <c r="N117" i="3" s="1"/>
  <c r="O93" i="3"/>
  <c r="O117" i="3" s="1"/>
  <c r="E94" i="3"/>
  <c r="E118" i="3" s="1"/>
  <c r="F94" i="3"/>
  <c r="G94" i="3"/>
  <c r="G118" i="3" s="1"/>
  <c r="H94" i="3"/>
  <c r="I94" i="3"/>
  <c r="J94" i="3"/>
  <c r="J118" i="3" s="1"/>
  <c r="K94" i="3"/>
  <c r="K118" i="3" s="1"/>
  <c r="L94" i="3"/>
  <c r="L118" i="3" s="1"/>
  <c r="M94" i="3"/>
  <c r="M118" i="3" s="1"/>
  <c r="N94" i="3"/>
  <c r="N118" i="3" s="1"/>
  <c r="O94" i="3"/>
  <c r="O118" i="3" s="1"/>
  <c r="E95" i="3"/>
  <c r="F95" i="3"/>
  <c r="F119" i="3" s="1"/>
  <c r="G95" i="3"/>
  <c r="G119" i="3" s="1"/>
  <c r="H95" i="3"/>
  <c r="H119" i="3" s="1"/>
  <c r="I95" i="3"/>
  <c r="I119" i="3" s="1"/>
  <c r="J95" i="3"/>
  <c r="K95" i="3"/>
  <c r="K119" i="3" s="1"/>
  <c r="L95" i="3"/>
  <c r="L119" i="3" s="1"/>
  <c r="M95" i="3"/>
  <c r="M119" i="3" s="1"/>
  <c r="N95" i="3"/>
  <c r="N119" i="3" s="1"/>
  <c r="O95" i="3"/>
  <c r="O119" i="3" s="1"/>
  <c r="E96" i="3"/>
  <c r="F96" i="3"/>
  <c r="F120" i="3" s="1"/>
  <c r="G96" i="3"/>
  <c r="G120" i="3" s="1"/>
  <c r="H96" i="3"/>
  <c r="H120" i="3" s="1"/>
  <c r="I96" i="3"/>
  <c r="I120" i="3" s="1"/>
  <c r="J96" i="3"/>
  <c r="K96" i="3"/>
  <c r="K120" i="3" s="1"/>
  <c r="L96" i="3"/>
  <c r="L120" i="3" s="1"/>
  <c r="M96" i="3"/>
  <c r="M120" i="3" s="1"/>
  <c r="N96" i="3"/>
  <c r="N120" i="3" s="1"/>
  <c r="O96" i="3"/>
  <c r="O120" i="3" s="1"/>
  <c r="E97" i="3"/>
  <c r="F97" i="3"/>
  <c r="F121" i="3" s="1"/>
  <c r="G97" i="3"/>
  <c r="G121" i="3" s="1"/>
  <c r="H97" i="3"/>
  <c r="H121" i="3" s="1"/>
  <c r="I97" i="3"/>
  <c r="I121" i="3" s="1"/>
  <c r="J97" i="3"/>
  <c r="K97" i="3"/>
  <c r="K121" i="3" s="1"/>
  <c r="L97" i="3"/>
  <c r="L121" i="3" s="1"/>
  <c r="M97" i="3"/>
  <c r="M121" i="3" s="1"/>
  <c r="N97" i="3"/>
  <c r="N121" i="3" s="1"/>
  <c r="O97" i="3"/>
  <c r="O121" i="3" s="1"/>
  <c r="D93" i="3"/>
  <c r="D117" i="3" s="1"/>
  <c r="D94" i="3"/>
  <c r="D118" i="3" s="1"/>
  <c r="D95" i="3"/>
  <c r="D96" i="3"/>
  <c r="D97" i="3"/>
  <c r="D92" i="3"/>
  <c r="D116" i="3" s="1"/>
  <c r="E86" i="3"/>
  <c r="E110" i="3" s="1"/>
  <c r="F86" i="3"/>
  <c r="G86" i="3"/>
  <c r="G110" i="3" s="1"/>
  <c r="H86" i="3"/>
  <c r="I86" i="3"/>
  <c r="J86" i="3"/>
  <c r="J110" i="3" s="1"/>
  <c r="K86" i="3"/>
  <c r="K110" i="3" s="1"/>
  <c r="L86" i="3"/>
  <c r="L110" i="3" s="1"/>
  <c r="M86" i="3"/>
  <c r="M110" i="3" s="1"/>
  <c r="N86" i="3"/>
  <c r="N110" i="3" s="1"/>
  <c r="O86" i="3"/>
  <c r="O110" i="3" s="1"/>
  <c r="E87" i="3"/>
  <c r="E111" i="3" s="1"/>
  <c r="F87" i="3"/>
  <c r="G87" i="3"/>
  <c r="G111" i="3" s="1"/>
  <c r="H87" i="3"/>
  <c r="I87" i="3"/>
  <c r="J87" i="3"/>
  <c r="J111" i="3" s="1"/>
  <c r="K87" i="3"/>
  <c r="K111" i="3" s="1"/>
  <c r="L87" i="3"/>
  <c r="L111" i="3" s="1"/>
  <c r="M87" i="3"/>
  <c r="M111" i="3" s="1"/>
  <c r="N87" i="3"/>
  <c r="N111" i="3" s="1"/>
  <c r="O87" i="3"/>
  <c r="O111" i="3" s="1"/>
  <c r="E88" i="3"/>
  <c r="E112" i="3" s="1"/>
  <c r="F88" i="3"/>
  <c r="G88" i="3"/>
  <c r="G112" i="3" s="1"/>
  <c r="H88" i="3"/>
  <c r="I88" i="3"/>
  <c r="J88" i="3"/>
  <c r="J112" i="3" s="1"/>
  <c r="K88" i="3"/>
  <c r="K112" i="3" s="1"/>
  <c r="L88" i="3"/>
  <c r="L112" i="3" s="1"/>
  <c r="M88" i="3"/>
  <c r="M112" i="3" s="1"/>
  <c r="N88" i="3"/>
  <c r="N112" i="3" s="1"/>
  <c r="O88" i="3"/>
  <c r="O112" i="3" s="1"/>
  <c r="E89" i="3"/>
  <c r="F89" i="3"/>
  <c r="F113" i="3" s="1"/>
  <c r="G89" i="3"/>
  <c r="G113" i="3" s="1"/>
  <c r="H89" i="3"/>
  <c r="H113" i="3" s="1"/>
  <c r="I89" i="3"/>
  <c r="I113" i="3" s="1"/>
  <c r="J89" i="3"/>
  <c r="K89" i="3"/>
  <c r="K113" i="3" s="1"/>
  <c r="L89" i="3"/>
  <c r="L113" i="3" s="1"/>
  <c r="M89" i="3"/>
  <c r="M113" i="3" s="1"/>
  <c r="N89" i="3"/>
  <c r="N113" i="3" s="1"/>
  <c r="O89" i="3"/>
  <c r="O113" i="3" s="1"/>
  <c r="E90" i="3"/>
  <c r="F90" i="3"/>
  <c r="F114" i="3" s="1"/>
  <c r="G90" i="3"/>
  <c r="G114" i="3" s="1"/>
  <c r="H90" i="3"/>
  <c r="H114" i="3" s="1"/>
  <c r="I90" i="3"/>
  <c r="I114" i="3" s="1"/>
  <c r="J90" i="3"/>
  <c r="K90" i="3"/>
  <c r="K114" i="3" s="1"/>
  <c r="L90" i="3"/>
  <c r="L114" i="3" s="1"/>
  <c r="M90" i="3"/>
  <c r="M114" i="3" s="1"/>
  <c r="N90" i="3"/>
  <c r="N114" i="3" s="1"/>
  <c r="O90" i="3"/>
  <c r="O114" i="3" s="1"/>
  <c r="E91" i="3"/>
  <c r="F91" i="3"/>
  <c r="F115" i="3" s="1"/>
  <c r="G91" i="3"/>
  <c r="G115" i="3" s="1"/>
  <c r="H91" i="3"/>
  <c r="H115" i="3" s="1"/>
  <c r="I91" i="3"/>
  <c r="I115" i="3" s="1"/>
  <c r="J91" i="3"/>
  <c r="K91" i="3"/>
  <c r="K115" i="3" s="1"/>
  <c r="L91" i="3"/>
  <c r="L115" i="3" s="1"/>
  <c r="M91" i="3"/>
  <c r="M115" i="3" s="1"/>
  <c r="N91" i="3"/>
  <c r="N115" i="3" s="1"/>
  <c r="O91" i="3"/>
  <c r="O115" i="3" s="1"/>
  <c r="D87" i="3"/>
  <c r="D111" i="3" s="1"/>
  <c r="D88" i="3"/>
  <c r="D112" i="3" s="1"/>
  <c r="D89" i="3"/>
  <c r="D90" i="3"/>
  <c r="D91" i="3"/>
  <c r="D86" i="3"/>
  <c r="D110" i="3" s="1"/>
  <c r="F63" i="3"/>
  <c r="H63" i="3"/>
  <c r="I63" i="3"/>
  <c r="F64" i="3"/>
  <c r="H64" i="3"/>
  <c r="I64" i="3"/>
  <c r="D65" i="3"/>
  <c r="E65" i="3"/>
  <c r="J65" i="3"/>
  <c r="D66" i="3"/>
  <c r="E66" i="3"/>
  <c r="J66" i="3"/>
  <c r="D67" i="3"/>
  <c r="E67" i="3"/>
  <c r="J67" i="3"/>
  <c r="F68" i="3"/>
  <c r="H68" i="3"/>
  <c r="I68" i="3"/>
  <c r="F69" i="3"/>
  <c r="H69" i="3"/>
  <c r="I69" i="3"/>
  <c r="F70" i="3"/>
  <c r="H70" i="3"/>
  <c r="I70" i="3"/>
  <c r="D71" i="3"/>
  <c r="E71" i="3"/>
  <c r="J71" i="3"/>
  <c r="D72" i="3"/>
  <c r="E72" i="3"/>
  <c r="J72" i="3"/>
  <c r="D73" i="3"/>
  <c r="E73" i="3"/>
  <c r="J73" i="3"/>
  <c r="F74" i="3"/>
  <c r="H74" i="3"/>
  <c r="I74" i="3"/>
  <c r="F75" i="3"/>
  <c r="H75" i="3"/>
  <c r="I75" i="3"/>
  <c r="F76" i="3"/>
  <c r="H76" i="3"/>
  <c r="I76" i="3"/>
  <c r="D77" i="3"/>
  <c r="E77" i="3"/>
  <c r="J77" i="3"/>
  <c r="D78" i="3"/>
  <c r="E78" i="3"/>
  <c r="J78" i="3"/>
  <c r="D79" i="3"/>
  <c r="E79" i="3"/>
  <c r="J79" i="3"/>
  <c r="F80" i="3"/>
  <c r="H80" i="3"/>
  <c r="I80" i="3"/>
  <c r="F81" i="3"/>
  <c r="H81" i="3"/>
  <c r="I81" i="3"/>
  <c r="F82" i="3"/>
  <c r="H82" i="3"/>
  <c r="I82" i="3"/>
  <c r="D83" i="3"/>
  <c r="E83" i="3"/>
  <c r="J83" i="3"/>
  <c r="D84" i="3"/>
  <c r="E84" i="3"/>
  <c r="J84" i="3"/>
  <c r="D85" i="3"/>
  <c r="E85" i="3"/>
  <c r="J85" i="3"/>
  <c r="F62" i="3"/>
  <c r="H62" i="3"/>
  <c r="I62" i="3"/>
  <c r="D39" i="3"/>
  <c r="D63" i="3" s="1"/>
  <c r="E39" i="3"/>
  <c r="E63" i="3" s="1"/>
  <c r="F39" i="3"/>
  <c r="G39" i="3"/>
  <c r="G63" i="3" s="1"/>
  <c r="H39" i="3"/>
  <c r="I39" i="3"/>
  <c r="J39" i="3"/>
  <c r="J63" i="3" s="1"/>
  <c r="K39" i="3"/>
  <c r="K63" i="3" s="1"/>
  <c r="L39" i="3"/>
  <c r="L63" i="3" s="1"/>
  <c r="M39" i="3"/>
  <c r="M63" i="3" s="1"/>
  <c r="N39" i="3"/>
  <c r="N63" i="3" s="1"/>
  <c r="O39" i="3"/>
  <c r="O63" i="3" s="1"/>
  <c r="D40" i="3"/>
  <c r="D64" i="3" s="1"/>
  <c r="E40" i="3"/>
  <c r="E64" i="3" s="1"/>
  <c r="F40" i="3"/>
  <c r="G40" i="3"/>
  <c r="G64" i="3" s="1"/>
  <c r="H40" i="3"/>
  <c r="I40" i="3"/>
  <c r="J40" i="3"/>
  <c r="J64" i="3" s="1"/>
  <c r="K40" i="3"/>
  <c r="K64" i="3" s="1"/>
  <c r="L40" i="3"/>
  <c r="L64" i="3" s="1"/>
  <c r="M40" i="3"/>
  <c r="M64" i="3" s="1"/>
  <c r="N40" i="3"/>
  <c r="N64" i="3" s="1"/>
  <c r="O40" i="3"/>
  <c r="O64" i="3" s="1"/>
  <c r="D41" i="3"/>
  <c r="E41" i="3"/>
  <c r="F41" i="3"/>
  <c r="F65" i="3" s="1"/>
  <c r="G41" i="3"/>
  <c r="G65" i="3" s="1"/>
  <c r="H41" i="3"/>
  <c r="H65" i="3" s="1"/>
  <c r="I41" i="3"/>
  <c r="I65" i="3" s="1"/>
  <c r="J41" i="3"/>
  <c r="K41" i="3"/>
  <c r="K65" i="3" s="1"/>
  <c r="L41" i="3"/>
  <c r="L65" i="3" s="1"/>
  <c r="M41" i="3"/>
  <c r="M65" i="3" s="1"/>
  <c r="N41" i="3"/>
  <c r="N65" i="3" s="1"/>
  <c r="O41" i="3"/>
  <c r="O65" i="3" s="1"/>
  <c r="D42" i="3"/>
  <c r="E42" i="3"/>
  <c r="F42" i="3"/>
  <c r="F66" i="3" s="1"/>
  <c r="G42" i="3"/>
  <c r="G66" i="3" s="1"/>
  <c r="H42" i="3"/>
  <c r="H66" i="3" s="1"/>
  <c r="I42" i="3"/>
  <c r="I66" i="3" s="1"/>
  <c r="J42" i="3"/>
  <c r="K42" i="3"/>
  <c r="K66" i="3" s="1"/>
  <c r="L42" i="3"/>
  <c r="L66" i="3" s="1"/>
  <c r="M42" i="3"/>
  <c r="M66" i="3" s="1"/>
  <c r="N42" i="3"/>
  <c r="N66" i="3" s="1"/>
  <c r="O42" i="3"/>
  <c r="O66" i="3" s="1"/>
  <c r="D43" i="3"/>
  <c r="E43" i="3"/>
  <c r="F43" i="3"/>
  <c r="F67" i="3" s="1"/>
  <c r="G43" i="3"/>
  <c r="G67" i="3" s="1"/>
  <c r="H43" i="3"/>
  <c r="H67" i="3" s="1"/>
  <c r="I43" i="3"/>
  <c r="I67" i="3" s="1"/>
  <c r="J43" i="3"/>
  <c r="K43" i="3"/>
  <c r="K67" i="3" s="1"/>
  <c r="L43" i="3"/>
  <c r="L67" i="3" s="1"/>
  <c r="M43" i="3"/>
  <c r="M67" i="3" s="1"/>
  <c r="N43" i="3"/>
  <c r="N67" i="3" s="1"/>
  <c r="O43" i="3"/>
  <c r="O67" i="3" s="1"/>
  <c r="D44" i="3"/>
  <c r="D68" i="3" s="1"/>
  <c r="E44" i="3"/>
  <c r="E68" i="3" s="1"/>
  <c r="F44" i="3"/>
  <c r="G44" i="3"/>
  <c r="G68" i="3" s="1"/>
  <c r="H44" i="3"/>
  <c r="I44" i="3"/>
  <c r="J44" i="3"/>
  <c r="J68" i="3" s="1"/>
  <c r="K44" i="3"/>
  <c r="K68" i="3" s="1"/>
  <c r="L44" i="3"/>
  <c r="L68" i="3" s="1"/>
  <c r="M44" i="3"/>
  <c r="M68" i="3" s="1"/>
  <c r="N44" i="3"/>
  <c r="N68" i="3" s="1"/>
  <c r="O44" i="3"/>
  <c r="O68" i="3" s="1"/>
  <c r="D45" i="3"/>
  <c r="D69" i="3" s="1"/>
  <c r="E45" i="3"/>
  <c r="E69" i="3" s="1"/>
  <c r="F45" i="3"/>
  <c r="G45" i="3"/>
  <c r="G69" i="3" s="1"/>
  <c r="H45" i="3"/>
  <c r="I45" i="3"/>
  <c r="J45" i="3"/>
  <c r="J69" i="3" s="1"/>
  <c r="K45" i="3"/>
  <c r="K69" i="3" s="1"/>
  <c r="L45" i="3"/>
  <c r="L69" i="3" s="1"/>
  <c r="M45" i="3"/>
  <c r="M69" i="3" s="1"/>
  <c r="N45" i="3"/>
  <c r="N69" i="3" s="1"/>
  <c r="O45" i="3"/>
  <c r="O69" i="3" s="1"/>
  <c r="D46" i="3"/>
  <c r="D70" i="3" s="1"/>
  <c r="E46" i="3"/>
  <c r="E70" i="3" s="1"/>
  <c r="F46" i="3"/>
  <c r="G46" i="3"/>
  <c r="G70" i="3" s="1"/>
  <c r="H46" i="3"/>
  <c r="I46" i="3"/>
  <c r="J46" i="3"/>
  <c r="J70" i="3" s="1"/>
  <c r="K46" i="3"/>
  <c r="K70" i="3" s="1"/>
  <c r="L46" i="3"/>
  <c r="L70" i="3" s="1"/>
  <c r="M46" i="3"/>
  <c r="M70" i="3" s="1"/>
  <c r="N46" i="3"/>
  <c r="N70" i="3" s="1"/>
  <c r="O46" i="3"/>
  <c r="O70" i="3" s="1"/>
  <c r="D47" i="3"/>
  <c r="E47" i="3"/>
  <c r="F47" i="3"/>
  <c r="F71" i="3" s="1"/>
  <c r="G47" i="3"/>
  <c r="G71" i="3" s="1"/>
  <c r="H47" i="3"/>
  <c r="H71" i="3" s="1"/>
  <c r="I47" i="3"/>
  <c r="I71" i="3" s="1"/>
  <c r="J47" i="3"/>
  <c r="K47" i="3"/>
  <c r="K71" i="3" s="1"/>
  <c r="L47" i="3"/>
  <c r="L71" i="3" s="1"/>
  <c r="M47" i="3"/>
  <c r="M71" i="3" s="1"/>
  <c r="N47" i="3"/>
  <c r="N71" i="3" s="1"/>
  <c r="O47" i="3"/>
  <c r="O71" i="3" s="1"/>
  <c r="D48" i="3"/>
  <c r="E48" i="3"/>
  <c r="F48" i="3"/>
  <c r="F72" i="3" s="1"/>
  <c r="G48" i="3"/>
  <c r="G72" i="3" s="1"/>
  <c r="H48" i="3"/>
  <c r="H72" i="3" s="1"/>
  <c r="I48" i="3"/>
  <c r="I72" i="3" s="1"/>
  <c r="J48" i="3"/>
  <c r="K48" i="3"/>
  <c r="K72" i="3" s="1"/>
  <c r="L48" i="3"/>
  <c r="L72" i="3" s="1"/>
  <c r="M48" i="3"/>
  <c r="M72" i="3" s="1"/>
  <c r="N48" i="3"/>
  <c r="N72" i="3" s="1"/>
  <c r="O48" i="3"/>
  <c r="O72" i="3" s="1"/>
  <c r="D49" i="3"/>
  <c r="E49" i="3"/>
  <c r="F49" i="3"/>
  <c r="F73" i="3" s="1"/>
  <c r="G49" i="3"/>
  <c r="G73" i="3" s="1"/>
  <c r="H49" i="3"/>
  <c r="H73" i="3" s="1"/>
  <c r="I49" i="3"/>
  <c r="I73" i="3" s="1"/>
  <c r="J49" i="3"/>
  <c r="K49" i="3"/>
  <c r="K73" i="3" s="1"/>
  <c r="L49" i="3"/>
  <c r="L73" i="3" s="1"/>
  <c r="M49" i="3"/>
  <c r="M73" i="3" s="1"/>
  <c r="N49" i="3"/>
  <c r="N73" i="3" s="1"/>
  <c r="O49" i="3"/>
  <c r="O73" i="3" s="1"/>
  <c r="D50" i="3"/>
  <c r="D74" i="3" s="1"/>
  <c r="E50" i="3"/>
  <c r="E74" i="3" s="1"/>
  <c r="F50" i="3"/>
  <c r="G50" i="3"/>
  <c r="G74" i="3" s="1"/>
  <c r="H50" i="3"/>
  <c r="I50" i="3"/>
  <c r="J50" i="3"/>
  <c r="J74" i="3" s="1"/>
  <c r="K50" i="3"/>
  <c r="K74" i="3" s="1"/>
  <c r="L50" i="3"/>
  <c r="L74" i="3" s="1"/>
  <c r="M50" i="3"/>
  <c r="M74" i="3" s="1"/>
  <c r="N50" i="3"/>
  <c r="N74" i="3" s="1"/>
  <c r="O50" i="3"/>
  <c r="O74" i="3" s="1"/>
  <c r="D51" i="3"/>
  <c r="D75" i="3" s="1"/>
  <c r="E51" i="3"/>
  <c r="E75" i="3" s="1"/>
  <c r="F51" i="3"/>
  <c r="G51" i="3"/>
  <c r="G75" i="3" s="1"/>
  <c r="H51" i="3"/>
  <c r="I51" i="3"/>
  <c r="J51" i="3"/>
  <c r="J75" i="3" s="1"/>
  <c r="K51" i="3"/>
  <c r="K75" i="3" s="1"/>
  <c r="L51" i="3"/>
  <c r="L75" i="3" s="1"/>
  <c r="M51" i="3"/>
  <c r="M75" i="3" s="1"/>
  <c r="N51" i="3"/>
  <c r="N75" i="3" s="1"/>
  <c r="O51" i="3"/>
  <c r="O75" i="3" s="1"/>
  <c r="D52" i="3"/>
  <c r="D76" i="3" s="1"/>
  <c r="E52" i="3"/>
  <c r="E76" i="3" s="1"/>
  <c r="F52" i="3"/>
  <c r="G52" i="3"/>
  <c r="G76" i="3" s="1"/>
  <c r="H52" i="3"/>
  <c r="I52" i="3"/>
  <c r="J52" i="3"/>
  <c r="J76" i="3" s="1"/>
  <c r="K52" i="3"/>
  <c r="K76" i="3" s="1"/>
  <c r="L52" i="3"/>
  <c r="L76" i="3" s="1"/>
  <c r="M52" i="3"/>
  <c r="M76" i="3" s="1"/>
  <c r="N52" i="3"/>
  <c r="N76" i="3" s="1"/>
  <c r="O52" i="3"/>
  <c r="O76" i="3" s="1"/>
  <c r="D53" i="3"/>
  <c r="E53" i="3"/>
  <c r="F53" i="3"/>
  <c r="F77" i="3" s="1"/>
  <c r="G53" i="3"/>
  <c r="G77" i="3" s="1"/>
  <c r="H53" i="3"/>
  <c r="H77" i="3" s="1"/>
  <c r="I53" i="3"/>
  <c r="I77" i="3" s="1"/>
  <c r="J53" i="3"/>
  <c r="K53" i="3"/>
  <c r="K77" i="3" s="1"/>
  <c r="L53" i="3"/>
  <c r="L77" i="3" s="1"/>
  <c r="M53" i="3"/>
  <c r="M77" i="3" s="1"/>
  <c r="N53" i="3"/>
  <c r="N77" i="3" s="1"/>
  <c r="O53" i="3"/>
  <c r="O77" i="3" s="1"/>
  <c r="D54" i="3"/>
  <c r="E54" i="3"/>
  <c r="F54" i="3"/>
  <c r="F78" i="3" s="1"/>
  <c r="G54" i="3"/>
  <c r="G78" i="3" s="1"/>
  <c r="H54" i="3"/>
  <c r="H78" i="3" s="1"/>
  <c r="I54" i="3"/>
  <c r="I78" i="3" s="1"/>
  <c r="J54" i="3"/>
  <c r="K54" i="3"/>
  <c r="K78" i="3" s="1"/>
  <c r="L54" i="3"/>
  <c r="L78" i="3" s="1"/>
  <c r="M54" i="3"/>
  <c r="M78" i="3" s="1"/>
  <c r="N54" i="3"/>
  <c r="N78" i="3" s="1"/>
  <c r="O54" i="3"/>
  <c r="O78" i="3" s="1"/>
  <c r="D55" i="3"/>
  <c r="E55" i="3"/>
  <c r="F55" i="3"/>
  <c r="F79" i="3" s="1"/>
  <c r="G55" i="3"/>
  <c r="G79" i="3" s="1"/>
  <c r="H55" i="3"/>
  <c r="H79" i="3" s="1"/>
  <c r="I55" i="3"/>
  <c r="I79" i="3" s="1"/>
  <c r="J55" i="3"/>
  <c r="K55" i="3"/>
  <c r="K79" i="3" s="1"/>
  <c r="L55" i="3"/>
  <c r="L79" i="3" s="1"/>
  <c r="M55" i="3"/>
  <c r="M79" i="3" s="1"/>
  <c r="N55" i="3"/>
  <c r="N79" i="3" s="1"/>
  <c r="O55" i="3"/>
  <c r="O79" i="3" s="1"/>
  <c r="D56" i="3"/>
  <c r="D80" i="3" s="1"/>
  <c r="E56" i="3"/>
  <c r="E80" i="3" s="1"/>
  <c r="F56" i="3"/>
  <c r="G56" i="3"/>
  <c r="G80" i="3" s="1"/>
  <c r="H56" i="3"/>
  <c r="I56" i="3"/>
  <c r="J56" i="3"/>
  <c r="J80" i="3" s="1"/>
  <c r="K56" i="3"/>
  <c r="K80" i="3" s="1"/>
  <c r="L56" i="3"/>
  <c r="L80" i="3" s="1"/>
  <c r="M56" i="3"/>
  <c r="M80" i="3" s="1"/>
  <c r="N56" i="3"/>
  <c r="N80" i="3" s="1"/>
  <c r="O56" i="3"/>
  <c r="O80" i="3" s="1"/>
  <c r="D57" i="3"/>
  <c r="D81" i="3" s="1"/>
  <c r="E57" i="3"/>
  <c r="E81" i="3" s="1"/>
  <c r="F57" i="3"/>
  <c r="G57" i="3"/>
  <c r="G81" i="3" s="1"/>
  <c r="H57" i="3"/>
  <c r="I57" i="3"/>
  <c r="J57" i="3"/>
  <c r="J81" i="3" s="1"/>
  <c r="K57" i="3"/>
  <c r="K81" i="3" s="1"/>
  <c r="L57" i="3"/>
  <c r="L81" i="3" s="1"/>
  <c r="M57" i="3"/>
  <c r="M81" i="3" s="1"/>
  <c r="N57" i="3"/>
  <c r="N81" i="3" s="1"/>
  <c r="O57" i="3"/>
  <c r="O81" i="3" s="1"/>
  <c r="D58" i="3"/>
  <c r="D82" i="3" s="1"/>
  <c r="E58" i="3"/>
  <c r="E82" i="3" s="1"/>
  <c r="F58" i="3"/>
  <c r="G58" i="3"/>
  <c r="G82" i="3" s="1"/>
  <c r="H58" i="3"/>
  <c r="I58" i="3"/>
  <c r="J58" i="3"/>
  <c r="J82" i="3" s="1"/>
  <c r="K58" i="3"/>
  <c r="K82" i="3" s="1"/>
  <c r="L58" i="3"/>
  <c r="L82" i="3" s="1"/>
  <c r="M58" i="3"/>
  <c r="M82" i="3" s="1"/>
  <c r="N58" i="3"/>
  <c r="N82" i="3" s="1"/>
  <c r="O58" i="3"/>
  <c r="O82" i="3" s="1"/>
  <c r="D59" i="3"/>
  <c r="E59" i="3"/>
  <c r="F59" i="3"/>
  <c r="F83" i="3" s="1"/>
  <c r="G59" i="3"/>
  <c r="G83" i="3" s="1"/>
  <c r="H59" i="3"/>
  <c r="H83" i="3" s="1"/>
  <c r="I59" i="3"/>
  <c r="I83" i="3" s="1"/>
  <c r="J59" i="3"/>
  <c r="K59" i="3"/>
  <c r="K83" i="3" s="1"/>
  <c r="L59" i="3"/>
  <c r="L83" i="3" s="1"/>
  <c r="M59" i="3"/>
  <c r="M83" i="3" s="1"/>
  <c r="N59" i="3"/>
  <c r="N83" i="3" s="1"/>
  <c r="O59" i="3"/>
  <c r="O83" i="3" s="1"/>
  <c r="D60" i="3"/>
  <c r="E60" i="3"/>
  <c r="F60" i="3"/>
  <c r="F84" i="3" s="1"/>
  <c r="G60" i="3"/>
  <c r="G84" i="3" s="1"/>
  <c r="H60" i="3"/>
  <c r="H84" i="3" s="1"/>
  <c r="I60" i="3"/>
  <c r="I84" i="3" s="1"/>
  <c r="J60" i="3"/>
  <c r="K60" i="3"/>
  <c r="K84" i="3" s="1"/>
  <c r="L60" i="3"/>
  <c r="L84" i="3" s="1"/>
  <c r="M60" i="3"/>
  <c r="M84" i="3" s="1"/>
  <c r="N60" i="3"/>
  <c r="N84" i="3" s="1"/>
  <c r="O60" i="3"/>
  <c r="O84" i="3" s="1"/>
  <c r="D61" i="3"/>
  <c r="E61" i="3"/>
  <c r="F61" i="3"/>
  <c r="F85" i="3" s="1"/>
  <c r="G61" i="3"/>
  <c r="G85" i="3" s="1"/>
  <c r="H61" i="3"/>
  <c r="H85" i="3" s="1"/>
  <c r="I61" i="3"/>
  <c r="I85" i="3" s="1"/>
  <c r="J61" i="3"/>
  <c r="K61" i="3"/>
  <c r="K85" i="3" s="1"/>
  <c r="L61" i="3"/>
  <c r="L85" i="3" s="1"/>
  <c r="M61" i="3"/>
  <c r="M85" i="3" s="1"/>
  <c r="N61" i="3"/>
  <c r="N85" i="3" s="1"/>
  <c r="O61" i="3"/>
  <c r="O85" i="3" s="1"/>
  <c r="E38" i="3"/>
  <c r="E62" i="3" s="1"/>
  <c r="F38" i="3"/>
  <c r="G38" i="3"/>
  <c r="G62" i="3" s="1"/>
  <c r="H38" i="3"/>
  <c r="I38" i="3"/>
  <c r="J38" i="3"/>
  <c r="J62" i="3" s="1"/>
  <c r="K38" i="3"/>
  <c r="K62" i="3" s="1"/>
  <c r="L38" i="3"/>
  <c r="L62" i="3" s="1"/>
  <c r="M38" i="3"/>
  <c r="M62" i="3" s="1"/>
  <c r="N38" i="3"/>
  <c r="N62" i="3" s="1"/>
  <c r="O38" i="3"/>
  <c r="O62" i="3" s="1"/>
  <c r="D38" i="3"/>
  <c r="D62" i="3" s="1"/>
  <c r="V11" i="1"/>
  <c r="AB11" i="1" s="1"/>
  <c r="W11" i="1"/>
  <c r="AC11" i="1" s="1"/>
  <c r="X11" i="1"/>
  <c r="AD11" i="1" s="1"/>
  <c r="V12" i="1"/>
  <c r="AB12" i="1" s="1"/>
  <c r="W12" i="1"/>
  <c r="AC12" i="1" s="1"/>
  <c r="X12" i="1"/>
  <c r="AD12" i="1" s="1"/>
  <c r="V13" i="1"/>
  <c r="AB13" i="1" s="1"/>
  <c r="W13" i="1"/>
  <c r="AC13" i="1" s="1"/>
  <c r="X13" i="1"/>
  <c r="AD13" i="1" s="1"/>
  <c r="V14" i="1"/>
  <c r="AB14" i="1" s="1"/>
  <c r="W14" i="1"/>
  <c r="AC14" i="1" s="1"/>
  <c r="X14" i="1"/>
  <c r="AD14" i="1" s="1"/>
  <c r="V15" i="1"/>
  <c r="AB15" i="1" s="1"/>
  <c r="W15" i="1"/>
  <c r="AC15" i="1" s="1"/>
  <c r="X15" i="1"/>
  <c r="AD15" i="1" s="1"/>
  <c r="V16" i="1"/>
  <c r="AB16" i="1" s="1"/>
  <c r="W16" i="1"/>
  <c r="AC16" i="1" s="1"/>
  <c r="X16" i="1"/>
  <c r="AD16" i="1" s="1"/>
  <c r="V17" i="1"/>
  <c r="AB17" i="1" s="1"/>
  <c r="W17" i="1"/>
  <c r="AC17" i="1" s="1"/>
  <c r="X17" i="1"/>
  <c r="AD17" i="1" s="1"/>
  <c r="V21" i="1"/>
  <c r="AB21" i="1" s="1"/>
  <c r="W21" i="1"/>
  <c r="AC21" i="1" s="1"/>
  <c r="X21" i="1"/>
  <c r="AD21" i="1" s="1"/>
  <c r="V22" i="1"/>
  <c r="AB22" i="1" s="1"/>
  <c r="W22" i="1"/>
  <c r="AC22" i="1" s="1"/>
  <c r="X22" i="1"/>
  <c r="AD22" i="1" s="1"/>
  <c r="V23" i="1"/>
  <c r="AB23" i="1" s="1"/>
  <c r="W23" i="1"/>
  <c r="AC23" i="1" s="1"/>
  <c r="X23" i="1"/>
  <c r="AD23" i="1" s="1"/>
  <c r="V24" i="1"/>
  <c r="AB24" i="1" s="1"/>
  <c r="W24" i="1"/>
  <c r="AC24" i="1" s="1"/>
  <c r="X24" i="1"/>
  <c r="AD24" i="1" s="1"/>
  <c r="V25" i="1"/>
  <c r="AB25" i="1" s="1"/>
  <c r="W25" i="1"/>
  <c r="AC25" i="1" s="1"/>
  <c r="X25" i="1"/>
  <c r="AD25" i="1" s="1"/>
  <c r="V26" i="1"/>
  <c r="AB26" i="1" s="1"/>
  <c r="W26" i="1"/>
  <c r="AC26" i="1" s="1"/>
  <c r="X26" i="1"/>
  <c r="AD26" i="1" s="1"/>
  <c r="V27" i="1"/>
  <c r="AB27" i="1" s="1"/>
  <c r="W27" i="1"/>
  <c r="AC27" i="1" s="1"/>
  <c r="X27" i="1"/>
  <c r="AD27" i="1" s="1"/>
  <c r="V31" i="1"/>
  <c r="AB31" i="1" s="1"/>
  <c r="W31" i="1"/>
  <c r="AC31" i="1" s="1"/>
  <c r="X31" i="1"/>
  <c r="AD31" i="1" s="1"/>
  <c r="V32" i="1"/>
  <c r="AB32" i="1" s="1"/>
  <c r="W32" i="1"/>
  <c r="AC32" i="1" s="1"/>
  <c r="X32" i="1"/>
  <c r="AD32" i="1" s="1"/>
  <c r="V33" i="1"/>
  <c r="AB33" i="1" s="1"/>
  <c r="W33" i="1"/>
  <c r="AC33" i="1" s="1"/>
  <c r="X33" i="1"/>
  <c r="AD33" i="1" s="1"/>
  <c r="V34" i="1"/>
  <c r="AB34" i="1" s="1"/>
  <c r="W34" i="1"/>
  <c r="AC34" i="1" s="1"/>
  <c r="X34" i="1"/>
  <c r="AD34" i="1" s="1"/>
  <c r="V35" i="1"/>
  <c r="AB35" i="1" s="1"/>
  <c r="W35" i="1"/>
  <c r="AC35" i="1" s="1"/>
  <c r="X35" i="1"/>
  <c r="AD35" i="1" s="1"/>
  <c r="V36" i="1"/>
  <c r="AB36" i="1" s="1"/>
  <c r="W36" i="1"/>
  <c r="AC36" i="1" s="1"/>
  <c r="X36" i="1"/>
  <c r="AD36" i="1" s="1"/>
  <c r="V37" i="1"/>
  <c r="AB37" i="1" s="1"/>
  <c r="W37" i="1"/>
  <c r="AC37" i="1" s="1"/>
  <c r="X37" i="1"/>
  <c r="AD37" i="1" s="1"/>
  <c r="V42" i="1"/>
  <c r="AB42" i="1" s="1"/>
  <c r="W42" i="1"/>
  <c r="AC42" i="1" s="1"/>
  <c r="X42" i="1"/>
  <c r="AD42" i="1" s="1"/>
  <c r="V43" i="1"/>
  <c r="AB43" i="1" s="1"/>
  <c r="W43" i="1"/>
  <c r="AC43" i="1" s="1"/>
  <c r="X43" i="1"/>
  <c r="AD43" i="1" s="1"/>
  <c r="V44" i="1"/>
  <c r="AB44" i="1" s="1"/>
  <c r="W44" i="1"/>
  <c r="AC44" i="1" s="1"/>
  <c r="X44" i="1"/>
  <c r="AD44" i="1" s="1"/>
  <c r="V45" i="1"/>
  <c r="AB45" i="1" s="1"/>
  <c r="W45" i="1"/>
  <c r="AC45" i="1" s="1"/>
  <c r="X45" i="1"/>
  <c r="AD45" i="1" s="1"/>
  <c r="V46" i="1"/>
  <c r="AB46" i="1" s="1"/>
  <c r="W46" i="1"/>
  <c r="AC46" i="1" s="1"/>
  <c r="X46" i="1"/>
  <c r="AD46" i="1" s="1"/>
  <c r="V47" i="1"/>
  <c r="AB47" i="1" s="1"/>
  <c r="W47" i="1"/>
  <c r="AC47" i="1" s="1"/>
  <c r="X47" i="1"/>
  <c r="AD47" i="1" s="1"/>
  <c r="V48" i="1"/>
  <c r="AB48" i="1" s="1"/>
  <c r="W48" i="1"/>
  <c r="AC48" i="1" s="1"/>
  <c r="X48" i="1"/>
  <c r="AD48" i="1" s="1"/>
  <c r="V52" i="1"/>
  <c r="AB52" i="1" s="1"/>
  <c r="W52" i="1"/>
  <c r="AC52" i="1" s="1"/>
  <c r="X52" i="1"/>
  <c r="AD52" i="1" s="1"/>
  <c r="V53" i="1"/>
  <c r="AB53" i="1" s="1"/>
  <c r="W53" i="1"/>
  <c r="AC53" i="1" s="1"/>
  <c r="X53" i="1"/>
  <c r="AD53" i="1" s="1"/>
  <c r="V54" i="1"/>
  <c r="AB54" i="1" s="1"/>
  <c r="W54" i="1"/>
  <c r="AC54" i="1" s="1"/>
  <c r="X54" i="1"/>
  <c r="AD54" i="1" s="1"/>
  <c r="V55" i="1"/>
  <c r="AB55" i="1" s="1"/>
  <c r="W55" i="1"/>
  <c r="AC55" i="1" s="1"/>
  <c r="X55" i="1"/>
  <c r="AD55" i="1" s="1"/>
  <c r="V56" i="1"/>
  <c r="AB56" i="1" s="1"/>
  <c r="W56" i="1"/>
  <c r="AC56" i="1" s="1"/>
  <c r="X56" i="1"/>
  <c r="AD56" i="1" s="1"/>
  <c r="V57" i="1"/>
  <c r="AB57" i="1" s="1"/>
  <c r="W57" i="1"/>
  <c r="AC57" i="1" s="1"/>
  <c r="X57" i="1"/>
  <c r="AD57" i="1" s="1"/>
  <c r="V58" i="1"/>
  <c r="AB58" i="1" s="1"/>
  <c r="W58" i="1"/>
  <c r="AC58" i="1" s="1"/>
  <c r="X58" i="1"/>
  <c r="AD58" i="1" s="1"/>
  <c r="V62" i="1"/>
  <c r="AB62" i="1" s="1"/>
  <c r="W62" i="1"/>
  <c r="AC62" i="1" s="1"/>
  <c r="X62" i="1"/>
  <c r="AD62" i="1" s="1"/>
  <c r="V63" i="1"/>
  <c r="AB63" i="1" s="1"/>
  <c r="W63" i="1"/>
  <c r="AC63" i="1" s="1"/>
  <c r="X63" i="1"/>
  <c r="AD63" i="1" s="1"/>
  <c r="V64" i="1"/>
  <c r="AB64" i="1" s="1"/>
  <c r="W64" i="1"/>
  <c r="AC64" i="1" s="1"/>
  <c r="X64" i="1"/>
  <c r="AD64" i="1" s="1"/>
  <c r="V65" i="1"/>
  <c r="AB65" i="1" s="1"/>
  <c r="W65" i="1"/>
  <c r="AC65" i="1" s="1"/>
  <c r="X65" i="1"/>
  <c r="AD65" i="1" s="1"/>
  <c r="V66" i="1"/>
  <c r="AB66" i="1" s="1"/>
  <c r="W66" i="1"/>
  <c r="AC66" i="1" s="1"/>
  <c r="X66" i="1"/>
  <c r="AD66" i="1" s="1"/>
  <c r="V67" i="1"/>
  <c r="AB67" i="1" s="1"/>
  <c r="W67" i="1"/>
  <c r="AC67" i="1" s="1"/>
  <c r="X67" i="1"/>
  <c r="AD67" i="1" s="1"/>
  <c r="V68" i="1"/>
  <c r="AB68" i="1" s="1"/>
  <c r="W68" i="1"/>
  <c r="AC68" i="1" s="1"/>
  <c r="X68" i="1"/>
  <c r="AD68" i="1" s="1"/>
  <c r="U12" i="1"/>
  <c r="AA12" i="1" s="1"/>
  <c r="U13" i="1"/>
  <c r="AA13" i="1" s="1"/>
  <c r="U14" i="1"/>
  <c r="AA14" i="1" s="1"/>
  <c r="U15" i="1"/>
  <c r="AA15" i="1" s="1"/>
  <c r="U16" i="1"/>
  <c r="AA16" i="1" s="1"/>
  <c r="U17" i="1"/>
  <c r="AA17" i="1" s="1"/>
  <c r="U21" i="1"/>
  <c r="AA21" i="1" s="1"/>
  <c r="U22" i="1"/>
  <c r="AA22" i="1" s="1"/>
  <c r="U23" i="1"/>
  <c r="AA23" i="1" s="1"/>
  <c r="U24" i="1"/>
  <c r="AA24" i="1" s="1"/>
  <c r="U25" i="1"/>
  <c r="AA25" i="1" s="1"/>
  <c r="U26" i="1"/>
  <c r="AA26" i="1" s="1"/>
  <c r="U27" i="1"/>
  <c r="AA27" i="1" s="1"/>
  <c r="U31" i="1"/>
  <c r="AA31" i="1" s="1"/>
  <c r="U32" i="1"/>
  <c r="AA32" i="1" s="1"/>
  <c r="U33" i="1"/>
  <c r="AA33" i="1" s="1"/>
  <c r="U34" i="1"/>
  <c r="AA34" i="1" s="1"/>
  <c r="U35" i="1"/>
  <c r="AA35" i="1" s="1"/>
  <c r="U36" i="1"/>
  <c r="AA36" i="1" s="1"/>
  <c r="U37" i="1"/>
  <c r="AA37" i="1" s="1"/>
  <c r="U42" i="1"/>
  <c r="AA42" i="1" s="1"/>
  <c r="U43" i="1"/>
  <c r="AA43" i="1" s="1"/>
  <c r="U44" i="1"/>
  <c r="AA44" i="1" s="1"/>
  <c r="U45" i="1"/>
  <c r="AA45" i="1" s="1"/>
  <c r="U46" i="1"/>
  <c r="AA46" i="1" s="1"/>
  <c r="U47" i="1"/>
  <c r="AA47" i="1" s="1"/>
  <c r="U48" i="1"/>
  <c r="AA48" i="1" s="1"/>
  <c r="U52" i="1"/>
  <c r="AA52" i="1" s="1"/>
  <c r="U53" i="1"/>
  <c r="AA53" i="1" s="1"/>
  <c r="U54" i="1"/>
  <c r="AA54" i="1" s="1"/>
  <c r="U55" i="1"/>
  <c r="AA55" i="1" s="1"/>
  <c r="U56" i="1"/>
  <c r="AA56" i="1" s="1"/>
  <c r="U57" i="1"/>
  <c r="AA57" i="1" s="1"/>
  <c r="U58" i="1"/>
  <c r="AA58" i="1" s="1"/>
  <c r="U62" i="1"/>
  <c r="AA62" i="1" s="1"/>
  <c r="U63" i="1"/>
  <c r="AA63" i="1" s="1"/>
  <c r="U64" i="1"/>
  <c r="AA64" i="1" s="1"/>
  <c r="U65" i="1"/>
  <c r="AA65" i="1" s="1"/>
  <c r="U66" i="1"/>
  <c r="AA66" i="1" s="1"/>
  <c r="U67" i="1"/>
  <c r="AA67" i="1" s="1"/>
  <c r="U68" i="1"/>
  <c r="AA68" i="1" s="1"/>
  <c r="U11" i="1"/>
  <c r="AA11" i="1" s="1"/>
  <c r="L68" i="1"/>
  <c r="R68" i="1" s="1"/>
  <c r="K68" i="1"/>
  <c r="Q68" i="1" s="1"/>
  <c r="J68" i="1"/>
  <c r="P68" i="1" s="1"/>
  <c r="I68" i="1"/>
  <c r="O68" i="1" s="1"/>
  <c r="L67" i="1"/>
  <c r="R67" i="1" s="1"/>
  <c r="K67" i="1"/>
  <c r="Q67" i="1" s="1"/>
  <c r="J67" i="1"/>
  <c r="P67" i="1" s="1"/>
  <c r="I67" i="1"/>
  <c r="O67" i="1" s="1"/>
  <c r="L66" i="1"/>
  <c r="R66" i="1" s="1"/>
  <c r="K66" i="1"/>
  <c r="Q66" i="1" s="1"/>
  <c r="J66" i="1"/>
  <c r="P66" i="1" s="1"/>
  <c r="I66" i="1"/>
  <c r="O66" i="1" s="1"/>
  <c r="L65" i="1"/>
  <c r="R65" i="1" s="1"/>
  <c r="K65" i="1"/>
  <c r="Q65" i="1" s="1"/>
  <c r="J65" i="1"/>
  <c r="P65" i="1" s="1"/>
  <c r="I65" i="1"/>
  <c r="O65" i="1" s="1"/>
  <c r="L64" i="1"/>
  <c r="R64" i="1" s="1"/>
  <c r="K64" i="1"/>
  <c r="Q64" i="1" s="1"/>
  <c r="J64" i="1"/>
  <c r="P64" i="1" s="1"/>
  <c r="I64" i="1"/>
  <c r="O64" i="1" s="1"/>
  <c r="L63" i="1"/>
  <c r="R63" i="1" s="1"/>
  <c r="K63" i="1"/>
  <c r="Q63" i="1" s="1"/>
  <c r="J63" i="1"/>
  <c r="P63" i="1" s="1"/>
  <c r="I63" i="1"/>
  <c r="O63" i="1" s="1"/>
  <c r="L62" i="1"/>
  <c r="R62" i="1" s="1"/>
  <c r="K62" i="1"/>
  <c r="Q62" i="1" s="1"/>
  <c r="J62" i="1"/>
  <c r="P62" i="1" s="1"/>
  <c r="I62" i="1"/>
  <c r="O62" i="1" s="1"/>
  <c r="L58" i="1"/>
  <c r="R58" i="1" s="1"/>
  <c r="K58" i="1"/>
  <c r="Q58" i="1" s="1"/>
  <c r="J58" i="1"/>
  <c r="P58" i="1" s="1"/>
  <c r="I58" i="1"/>
  <c r="O58" i="1" s="1"/>
  <c r="L57" i="1"/>
  <c r="R57" i="1" s="1"/>
  <c r="K57" i="1"/>
  <c r="Q57" i="1" s="1"/>
  <c r="J57" i="1"/>
  <c r="P57" i="1" s="1"/>
  <c r="I57" i="1"/>
  <c r="O57" i="1" s="1"/>
  <c r="L56" i="1"/>
  <c r="R56" i="1" s="1"/>
  <c r="K56" i="1"/>
  <c r="Q56" i="1" s="1"/>
  <c r="J56" i="1"/>
  <c r="P56" i="1" s="1"/>
  <c r="I56" i="1"/>
  <c r="O56" i="1" s="1"/>
  <c r="L55" i="1"/>
  <c r="R55" i="1" s="1"/>
  <c r="K55" i="1"/>
  <c r="Q55" i="1" s="1"/>
  <c r="J55" i="1"/>
  <c r="P55" i="1" s="1"/>
  <c r="I55" i="1"/>
  <c r="O55" i="1" s="1"/>
  <c r="L54" i="1"/>
  <c r="R54" i="1" s="1"/>
  <c r="K54" i="1"/>
  <c r="Q54" i="1" s="1"/>
  <c r="J54" i="1"/>
  <c r="P54" i="1" s="1"/>
  <c r="I54" i="1"/>
  <c r="O54" i="1" s="1"/>
  <c r="L53" i="1"/>
  <c r="R53" i="1" s="1"/>
  <c r="K53" i="1"/>
  <c r="Q53" i="1" s="1"/>
  <c r="J53" i="1"/>
  <c r="P53" i="1" s="1"/>
  <c r="I53" i="1"/>
  <c r="O53" i="1" s="1"/>
  <c r="L52" i="1"/>
  <c r="R52" i="1" s="1"/>
  <c r="K52" i="1"/>
  <c r="Q52" i="1" s="1"/>
  <c r="J52" i="1"/>
  <c r="P52" i="1" s="1"/>
  <c r="I52" i="1"/>
  <c r="O52" i="1" s="1"/>
  <c r="L48" i="1"/>
  <c r="R48" i="1" s="1"/>
  <c r="K48" i="1"/>
  <c r="Q48" i="1" s="1"/>
  <c r="J48" i="1"/>
  <c r="P48" i="1" s="1"/>
  <c r="I48" i="1"/>
  <c r="O48" i="1" s="1"/>
  <c r="L47" i="1"/>
  <c r="R47" i="1" s="1"/>
  <c r="K47" i="1"/>
  <c r="Q47" i="1" s="1"/>
  <c r="J47" i="1"/>
  <c r="P47" i="1" s="1"/>
  <c r="I47" i="1"/>
  <c r="O47" i="1" s="1"/>
  <c r="L46" i="1"/>
  <c r="R46" i="1" s="1"/>
  <c r="K46" i="1"/>
  <c r="Q46" i="1" s="1"/>
  <c r="J46" i="1"/>
  <c r="P46" i="1" s="1"/>
  <c r="I46" i="1"/>
  <c r="O46" i="1" s="1"/>
  <c r="L45" i="1"/>
  <c r="R45" i="1" s="1"/>
  <c r="K45" i="1"/>
  <c r="Q45" i="1" s="1"/>
  <c r="J45" i="1"/>
  <c r="P45" i="1" s="1"/>
  <c r="I45" i="1"/>
  <c r="O45" i="1" s="1"/>
  <c r="L44" i="1"/>
  <c r="R44" i="1" s="1"/>
  <c r="K44" i="1"/>
  <c r="Q44" i="1" s="1"/>
  <c r="J44" i="1"/>
  <c r="P44" i="1" s="1"/>
  <c r="I44" i="1"/>
  <c r="O44" i="1" s="1"/>
  <c r="L43" i="1"/>
  <c r="R43" i="1" s="1"/>
  <c r="K43" i="1"/>
  <c r="Q43" i="1" s="1"/>
  <c r="J43" i="1"/>
  <c r="P43" i="1" s="1"/>
  <c r="I43" i="1"/>
  <c r="O43" i="1" s="1"/>
  <c r="L42" i="1"/>
  <c r="R42" i="1" s="1"/>
  <c r="K42" i="1"/>
  <c r="Q42" i="1" s="1"/>
  <c r="J42" i="1"/>
  <c r="P42" i="1" s="1"/>
  <c r="I42" i="1"/>
  <c r="O42" i="1" s="1"/>
  <c r="L37" i="1"/>
  <c r="R37" i="1" s="1"/>
  <c r="K37" i="1"/>
  <c r="Q37" i="1" s="1"/>
  <c r="J37" i="1"/>
  <c r="P37" i="1" s="1"/>
  <c r="I37" i="1"/>
  <c r="O37" i="1" s="1"/>
  <c r="L36" i="1"/>
  <c r="R36" i="1" s="1"/>
  <c r="K36" i="1"/>
  <c r="Q36" i="1" s="1"/>
  <c r="J36" i="1"/>
  <c r="P36" i="1" s="1"/>
  <c r="I36" i="1"/>
  <c r="O36" i="1" s="1"/>
  <c r="L35" i="1"/>
  <c r="R35" i="1" s="1"/>
  <c r="K35" i="1"/>
  <c r="Q35" i="1" s="1"/>
  <c r="J35" i="1"/>
  <c r="P35" i="1" s="1"/>
  <c r="I35" i="1"/>
  <c r="O35" i="1" s="1"/>
  <c r="L34" i="1"/>
  <c r="R34" i="1" s="1"/>
  <c r="K34" i="1"/>
  <c r="Q34" i="1" s="1"/>
  <c r="J34" i="1"/>
  <c r="P34" i="1" s="1"/>
  <c r="I34" i="1"/>
  <c r="O34" i="1" s="1"/>
  <c r="L33" i="1"/>
  <c r="R33" i="1" s="1"/>
  <c r="K33" i="1"/>
  <c r="Q33" i="1" s="1"/>
  <c r="J33" i="1"/>
  <c r="P33" i="1" s="1"/>
  <c r="I33" i="1"/>
  <c r="O33" i="1" s="1"/>
  <c r="L32" i="1"/>
  <c r="R32" i="1" s="1"/>
  <c r="K32" i="1"/>
  <c r="Q32" i="1" s="1"/>
  <c r="J32" i="1"/>
  <c r="P32" i="1" s="1"/>
  <c r="I32" i="1"/>
  <c r="O32" i="1" s="1"/>
  <c r="L31" i="1"/>
  <c r="R31" i="1" s="1"/>
  <c r="K31" i="1"/>
  <c r="Q31" i="1" s="1"/>
  <c r="J31" i="1"/>
  <c r="P31" i="1" s="1"/>
  <c r="I31" i="1"/>
  <c r="O31" i="1" s="1"/>
  <c r="L27" i="1"/>
  <c r="R27" i="1" s="1"/>
  <c r="K27" i="1"/>
  <c r="Q27" i="1" s="1"/>
  <c r="J27" i="1"/>
  <c r="P27" i="1" s="1"/>
  <c r="I27" i="1"/>
  <c r="O27" i="1" s="1"/>
  <c r="L26" i="1"/>
  <c r="R26" i="1" s="1"/>
  <c r="K26" i="1"/>
  <c r="Q26" i="1" s="1"/>
  <c r="J26" i="1"/>
  <c r="P26" i="1" s="1"/>
  <c r="I26" i="1"/>
  <c r="O26" i="1" s="1"/>
  <c r="L25" i="1"/>
  <c r="R25" i="1" s="1"/>
  <c r="K25" i="1"/>
  <c r="Q25" i="1" s="1"/>
  <c r="J25" i="1"/>
  <c r="P25" i="1" s="1"/>
  <c r="I25" i="1"/>
  <c r="O25" i="1" s="1"/>
  <c r="L24" i="1"/>
  <c r="R24" i="1" s="1"/>
  <c r="K24" i="1"/>
  <c r="Q24" i="1" s="1"/>
  <c r="J24" i="1"/>
  <c r="P24" i="1" s="1"/>
  <c r="I24" i="1"/>
  <c r="O24" i="1" s="1"/>
  <c r="L23" i="1"/>
  <c r="R23" i="1" s="1"/>
  <c r="K23" i="1"/>
  <c r="Q23" i="1" s="1"/>
  <c r="J23" i="1"/>
  <c r="P23" i="1" s="1"/>
  <c r="I23" i="1"/>
  <c r="O23" i="1" s="1"/>
  <c r="L22" i="1"/>
  <c r="R22" i="1" s="1"/>
  <c r="K22" i="1"/>
  <c r="Q22" i="1" s="1"/>
  <c r="J22" i="1"/>
  <c r="P22" i="1" s="1"/>
  <c r="I22" i="1"/>
  <c r="O22" i="1" s="1"/>
  <c r="L21" i="1"/>
  <c r="R21" i="1" s="1"/>
  <c r="K21" i="1"/>
  <c r="Q21" i="1" s="1"/>
  <c r="J21" i="1"/>
  <c r="P21" i="1" s="1"/>
  <c r="I21" i="1"/>
  <c r="O21" i="1" s="1"/>
  <c r="J11" i="1"/>
  <c r="P11" i="1" s="1"/>
  <c r="K11" i="1"/>
  <c r="Q11" i="1" s="1"/>
  <c r="L11" i="1"/>
  <c r="R11" i="1" s="1"/>
  <c r="J12" i="1"/>
  <c r="P12" i="1" s="1"/>
  <c r="K12" i="1"/>
  <c r="Q12" i="1" s="1"/>
  <c r="L12" i="1"/>
  <c r="R12" i="1" s="1"/>
  <c r="J13" i="1"/>
  <c r="P13" i="1" s="1"/>
  <c r="K13" i="1"/>
  <c r="Q13" i="1" s="1"/>
  <c r="L13" i="1"/>
  <c r="R13" i="1" s="1"/>
  <c r="J14" i="1"/>
  <c r="P14" i="1" s="1"/>
  <c r="K14" i="1"/>
  <c r="Q14" i="1" s="1"/>
  <c r="L14" i="1"/>
  <c r="R14" i="1" s="1"/>
  <c r="J15" i="1"/>
  <c r="P15" i="1" s="1"/>
  <c r="K15" i="1"/>
  <c r="Q15" i="1" s="1"/>
  <c r="L15" i="1"/>
  <c r="R15" i="1" s="1"/>
  <c r="J16" i="1"/>
  <c r="P16" i="1" s="1"/>
  <c r="K16" i="1"/>
  <c r="Q16" i="1" s="1"/>
  <c r="L16" i="1"/>
  <c r="R16" i="1" s="1"/>
  <c r="J17" i="1"/>
  <c r="P17" i="1" s="1"/>
  <c r="K17" i="1"/>
  <c r="Q17" i="1" s="1"/>
  <c r="L17" i="1"/>
  <c r="R17" i="1" s="1"/>
  <c r="I12" i="1"/>
  <c r="O12" i="1" s="1"/>
  <c r="I13" i="1"/>
  <c r="O13" i="1" s="1"/>
  <c r="I14" i="1"/>
  <c r="O14" i="1" s="1"/>
  <c r="I15" i="1"/>
  <c r="O15" i="1" s="1"/>
  <c r="I16" i="1"/>
  <c r="O16" i="1" s="1"/>
  <c r="I17" i="1"/>
  <c r="O17" i="1" s="1"/>
  <c r="I11" i="1"/>
  <c r="O11" i="1" s="1"/>
  <c r="B10" i="1" a="1"/>
  <c r="B10" i="1" l="1"/>
  <c r="B41" i="1" l="1" a="1"/>
  <c r="B41" i="1" s="1"/>
  <c r="Z51" i="1" a="1"/>
  <c r="Z51" i="1" s="1"/>
  <c r="Z10" i="1" a="1"/>
  <c r="Z10" i="1" s="1"/>
  <c r="Z20" i="1" a="1"/>
  <c r="Z20" i="1" s="1"/>
  <c r="Z61" i="1" a="1"/>
  <c r="Z61" i="1" s="1"/>
  <c r="Z30" i="1" a="1"/>
  <c r="Z30" i="1" s="1"/>
  <c r="Z41" i="1" a="1"/>
  <c r="Z41" i="1" s="1"/>
  <c r="T51" i="1" a="1"/>
  <c r="T51" i="1" s="1"/>
  <c r="T10" i="1" a="1"/>
  <c r="T10" i="1" s="1"/>
  <c r="T41" i="1" a="1"/>
  <c r="T41" i="1" s="1"/>
  <c r="T30" i="1" a="1"/>
  <c r="T30" i="1" s="1"/>
  <c r="T20" i="1" a="1"/>
  <c r="T20" i="1" s="1"/>
  <c r="T61" i="1" a="1"/>
  <c r="T61" i="1" s="1"/>
  <c r="N30" i="1" a="1"/>
  <c r="N30" i="1" s="1"/>
  <c r="H30" i="1" a="1"/>
  <c r="H30" i="1" s="1"/>
  <c r="N20" i="1" a="1"/>
  <c r="N20" i="1" s="1"/>
  <c r="H20" i="1" a="1"/>
  <c r="H20" i="1" s="1"/>
  <c r="H61" i="1" a="1"/>
  <c r="H61" i="1" s="1"/>
  <c r="N10" i="1" a="1"/>
  <c r="N10" i="1" s="1"/>
  <c r="H51" i="1" a="1"/>
  <c r="H51" i="1" s="1"/>
  <c r="B20" i="1" a="1"/>
  <c r="B61" i="1" a="1"/>
  <c r="B61" i="1" s="1"/>
  <c r="H41" i="1" a="1"/>
  <c r="H41" i="1" s="1"/>
  <c r="N51" i="1" a="1"/>
  <c r="N51" i="1" s="1"/>
  <c r="B51" i="1" a="1"/>
  <c r="B51" i="1" s="1"/>
  <c r="H10" i="1" a="1"/>
  <c r="H10" i="1" s="1"/>
  <c r="N41" i="1" a="1"/>
  <c r="N41" i="1" s="1"/>
  <c r="N61" i="1" a="1"/>
  <c r="N61" i="1" s="1"/>
  <c r="B20" i="1" l="1"/>
  <c r="B30" i="1" s="1" a="1"/>
  <c r="B3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<sst xmlns="http://schemas.openxmlformats.org/spreadsheetml/2006/main" count="777" uniqueCount="59">
  <si>
    <t>Tafel</t>
  </si>
  <si>
    <t>Fonds</t>
  </si>
  <si>
    <t>OP</t>
  </si>
  <si>
    <t>Latent_NP</t>
  </si>
  <si>
    <t>Ingegaan_NP</t>
  </si>
  <si>
    <t>Totaal</t>
  </si>
  <si>
    <t>1</t>
  </si>
  <si>
    <t>2</t>
  </si>
  <si>
    <t>3</t>
  </si>
  <si>
    <t>4</t>
  </si>
  <si>
    <t>5</t>
  </si>
  <si>
    <t>6</t>
  </si>
  <si>
    <t>OP man</t>
  </si>
  <si>
    <t>Latent_NP man</t>
  </si>
  <si>
    <t>Ingegaan_NP man</t>
  </si>
  <si>
    <t>Totaal man</t>
  </si>
  <si>
    <t>OP vrouw</t>
  </si>
  <si>
    <t>Latent_NP vrouw</t>
  </si>
  <si>
    <t>Ingegaan_NP vrouw</t>
  </si>
  <si>
    <t>Totaal vrouw</t>
  </si>
  <si>
    <t>Leeftijd</t>
  </si>
  <si>
    <t>Man</t>
  </si>
  <si>
    <t>Vrouw</t>
  </si>
  <si>
    <t>PP_opbouw + PP_risico_toekenning man</t>
  </si>
  <si>
    <t>PP_risico man</t>
  </si>
  <si>
    <t>OP + PP_opbouw + PP_risico_toekenning man</t>
  </si>
  <si>
    <t>OP + PP_risico man</t>
  </si>
  <si>
    <t>PP_opbouw + PP_risico_toekenning vrouw</t>
  </si>
  <si>
    <t>PP_risico vrouw</t>
  </si>
  <si>
    <t>OP + PP_opbouw + PP_risico_toekenning vrouw</t>
  </si>
  <si>
    <t>OP + PP_risico vrouw</t>
  </si>
  <si>
    <t>PP_opbouw + PP_risico_toekenning</t>
  </si>
  <si>
    <t>PP_risico</t>
  </si>
  <si>
    <t>OP + PP_opbouw + PP_risico_toekenning</t>
  </si>
  <si>
    <t>OP + PP_risico</t>
  </si>
  <si>
    <t>0. AG2024</t>
  </si>
  <si>
    <t>1. AG2024 PreCovid</t>
  </si>
  <si>
    <t>2. Update PreCovid HMD-sterftedate</t>
  </si>
  <si>
    <t>3. Modelwijziging startpunt prognose</t>
  </si>
  <si>
    <t>4. Vernieuwde oversterfteparameters obv 2022/2023</t>
  </si>
  <si>
    <t xml:space="preserve"> </t>
  </si>
  <si>
    <t>Absolute verandering t.o.v. vorige stap</t>
  </si>
  <si>
    <t>Relatieve verandering t.o.v. vorige stap</t>
  </si>
  <si>
    <t>Absolute verandering t.o.v. AG2024</t>
  </si>
  <si>
    <t>Relatieve verandering t.o.v. AG2024</t>
  </si>
  <si>
    <t>Soort</t>
  </si>
  <si>
    <t>CW</t>
  </si>
  <si>
    <t>Absolute verandering tov vorige stap</t>
  </si>
  <si>
    <t>Relatieve verandering tov vorige stap</t>
  </si>
  <si>
    <t>Absolute verandering tov AG2024</t>
  </si>
  <si>
    <t>Relatieve verandering tov AG2024</t>
  </si>
  <si>
    <t>Stappen</t>
  </si>
  <si>
    <t>Startjaar = 2027</t>
  </si>
  <si>
    <t>Vaste rekenrente van 3%</t>
  </si>
  <si>
    <t>Pensioenleeftijd 65</t>
  </si>
  <si>
    <t>Pensioenleeftijd 68</t>
  </si>
  <si>
    <t>soort</t>
  </si>
  <si>
    <t>Leeftijdsverschil van 3</t>
  </si>
  <si>
    <t>De berekening zijn met de volgende assumpties gemaakt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</si>
</sst>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77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9" fontId="0" fillId="0" borderId="0" xfId="2" applyFont="1"/>
    <xf numFmtId="0" fontId="2" fillId="0" borderId="0" xfId="1" applyNumberFormat="1" applyFont="1"/>
    <xf numFmtId="2" fontId="0" fillId="0" borderId="1" xfId="1" applyNumberFormat="1" applyFont="1" applyBorder="1"/>
    <xf numFmtId="2" fontId="0" fillId="0" borderId="1" xfId="0" applyNumberFormat="1" applyBorder="1"/>
    <xf numFmtId="2" fontId="0" fillId="0" borderId="1" xfId="2" applyNumberFormat="1" applyFont="1" applyBorder="1"/>
    <xf numFmtId="9" fontId="0" fillId="0" borderId="1" xfId="2" applyFont="1" applyBorder="1"/>
    <xf numFmtId="2" fontId="0" fillId="0" borderId="1" xfId="2" applyNumberFormat="1" applyFont="1" applyFill="1" applyBorder="1"/>
    <xf numFmtId="177" fontId="0" fillId="0" borderId="1" xfId="2" applyNumberFormat="1" applyFont="1" applyFill="1" applyBorder="1"/>
    <xf numFmtId="177" fontId="0" fillId="0" borderId="0" xfId="2" applyNumberFormat="1" applyFont="1"/>
    <xf numFmtId="177" fontId="0" fillId="0" borderId="1" xfId="2" applyNumberFormat="1" applyFont="1" applyBorder="1"/>
    <xf numFmtId="10" fontId="0" fillId="0" borderId="0" xfId="2" applyNumberFormat="1" applyFont="1"/>
    <xf numFmtId="44" fontId="0" fillId="0" borderId="0" xfId="0" applyNumberFormat="1"/>
    <xf numFmtId="44" fontId="0" fillId="0" borderId="2" xfId="1" applyFont="1" applyBorder="1"/>
    <xf numFmtId="0" fontId="0" fillId="0" borderId="2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4A91-DCB4-449D-8B40-1E74F7D354BC}">
  <dimension ref="A1:AE68"/>
  <sheetViews>
    <sheetView workbookViewId="0">
      <selection activeCell="L14" sqref="L14"/>
    </sheetView>
  </sheetViews>
  <sheetFormatPr defaultRowHeight="15" x14ac:dyDescent="0.25"/>
  <cols>
    <col min="1" max="1" width="26.7109375" style="2" customWidth="1"/>
    <col min="2" max="6" width="5.7109375" style="1" customWidth="1"/>
    <col min="7" max="7" width="12.85546875" style="1" customWidth="1"/>
    <col min="8" max="12" width="5.7109375" style="1" customWidth="1"/>
    <col min="13" max="13" width="9.28515625" style="1" customWidth="1"/>
    <col min="14" max="17" width="5.7109375" style="4" customWidth="1"/>
    <col min="18" max="18" width="5.7109375" style="1" customWidth="1"/>
    <col min="19" max="19" width="18.85546875" style="1" customWidth="1"/>
    <col min="20" max="24" width="5.7109375" style="1" customWidth="1"/>
    <col min="25" max="25" width="17.5703125" style="1" customWidth="1"/>
    <col min="26" max="30" width="5.7109375" style="1" customWidth="1"/>
    <col min="31" max="16384" width="9.140625" style="1"/>
  </cols>
  <sheetData>
    <row r="1" spans="1:31" x14ac:dyDescent="0.25">
      <c r="A1" s="2" t="s">
        <v>58</v>
      </c>
    </row>
    <row r="2" spans="1:31" x14ac:dyDescent="0.25">
      <c r="A2" s="1" t="s">
        <v>52</v>
      </c>
    </row>
    <row r="3" spans="1:31" x14ac:dyDescent="0.25">
      <c r="A3" s="1" t="s">
        <v>53</v>
      </c>
    </row>
    <row r="4" spans="1:31" x14ac:dyDescent="0.25">
      <c r="A4" s="1" t="s">
        <v>54</v>
      </c>
    </row>
    <row r="5" spans="1:31" x14ac:dyDescent="0.25">
      <c r="A5" s="1" t="s">
        <v>57</v>
      </c>
    </row>
    <row r="6" spans="1:31" x14ac:dyDescent="0.25">
      <c r="B6" s="1" t="s">
        <v>51</v>
      </c>
    </row>
    <row r="7" spans="1:31" x14ac:dyDescent="0.25"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31" x14ac:dyDescent="0.25">
      <c r="A8" s="5" t="s">
        <v>21</v>
      </c>
      <c r="B8"/>
      <c r="C8"/>
      <c r="D8"/>
      <c r="E8"/>
      <c r="F8"/>
    </row>
    <row r="9" spans="1:31" x14ac:dyDescent="0.25">
      <c r="A9" s="2" t="s">
        <v>2</v>
      </c>
      <c r="H9" s="1" t="s">
        <v>41</v>
      </c>
      <c r="N9" s="4" t="s">
        <v>42</v>
      </c>
      <c r="T9" s="1" t="s">
        <v>43</v>
      </c>
      <c r="Z9" s="1" t="s">
        <v>44</v>
      </c>
    </row>
    <row r="10" spans="1:31" x14ac:dyDescent="0.25">
      <c r="A10" s="2" t="s">
        <v>20</v>
      </c>
      <c r="B10" s="2" t="str" cm="1">
        <f t="array" ref="B10:F10">B7:F7</f>
        <v>0. AG2024</v>
      </c>
      <c r="C10" s="2" t="str">
        <v>1. AG2024 PreCovid</v>
      </c>
      <c r="D10" s="2" t="str">
        <v>2. Update PreCovid HMD-sterftedate</v>
      </c>
      <c r="E10" s="2" t="str">
        <v>3. Modelwijziging startpunt prognose</v>
      </c>
      <c r="F10" s="2" t="str">
        <v>4. Vernieuwde oversterfteparameters obv 2022/2023</v>
      </c>
      <c r="G10" s="1" t="s">
        <v>40</v>
      </c>
      <c r="H10" s="1" t="str" cm="1">
        <f t="array" ref="H10:L10">_xlfn.ANCHORARRAY(B10)</f>
        <v>0. AG2024</v>
      </c>
      <c r="I10" s="1" t="str">
        <v>1. AG2024 PreCovid</v>
      </c>
      <c r="J10" s="1" t="str">
        <v>2. Update PreCovid HMD-sterftedate</v>
      </c>
      <c r="K10" s="1" t="str">
        <v>3. Modelwijziging startpunt prognose</v>
      </c>
      <c r="L10" s="1" t="str">
        <v>4. Vernieuwde oversterfteparameters obv 2022/2023</v>
      </c>
      <c r="M10" s="1" t="s">
        <v>40</v>
      </c>
      <c r="N10" s="4" t="str" cm="1">
        <f t="array" ref="N10:R10">_xlfn.ANCHORARRAY(B10)</f>
        <v>0. AG2024</v>
      </c>
      <c r="O10" s="4" t="str">
        <v>1. AG2024 PreCovid</v>
      </c>
      <c r="P10" s="4" t="str">
        <v>2. Update PreCovid HMD-sterftedate</v>
      </c>
      <c r="Q10" s="4" t="str">
        <v>3. Modelwijziging startpunt prognose</v>
      </c>
      <c r="R10" s="1" t="str">
        <v>4. Vernieuwde oversterfteparameters obv 2022/2023</v>
      </c>
      <c r="S10" s="1" t="s">
        <v>40</v>
      </c>
      <c r="T10" s="1" t="str" cm="1">
        <f t="array" ref="T10:X10">_xlfn.ANCHORARRAY($B$10)</f>
        <v>0. AG2024</v>
      </c>
      <c r="U10" s="1" t="str">
        <v>1. AG2024 PreCovid</v>
      </c>
      <c r="V10" s="1" t="str">
        <v>2. Update PreCovid HMD-sterftedate</v>
      </c>
      <c r="W10" s="1" t="str">
        <v>3. Modelwijziging startpunt prognose</v>
      </c>
      <c r="X10" s="1" t="str">
        <v>4. Vernieuwde oversterfteparameters obv 2022/2023</v>
      </c>
      <c r="Y10" s="1" t="s">
        <v>40</v>
      </c>
      <c r="Z10" s="1" t="str" cm="1">
        <f t="array" ref="Z10:AD10">_xlfn.ANCHORARRAY($B$10)</f>
        <v>0. AG2024</v>
      </c>
      <c r="AA10" s="1" t="str">
        <v>1. AG2024 PreCovid</v>
      </c>
      <c r="AB10" s="1" t="str">
        <v>2. Update PreCovid HMD-sterftedate</v>
      </c>
      <c r="AC10" s="1" t="str">
        <v>3. Modelwijziging startpunt prognose</v>
      </c>
      <c r="AD10" s="1" t="str">
        <v>4. Vernieuwde oversterfteparameters obv 2022/2023</v>
      </c>
      <c r="AE10" s="1" t="s">
        <v>40</v>
      </c>
    </row>
    <row r="11" spans="1:31" x14ac:dyDescent="0.25">
      <c r="A11" s="2">
        <v>30</v>
      </c>
      <c r="B11" s="6">
        <v>5.6769576631018603</v>
      </c>
      <c r="C11" s="7">
        <v>5.6769570502867897</v>
      </c>
      <c r="D11" s="7">
        <v>5.66009790866151</v>
      </c>
      <c r="E11" s="7">
        <v>5.6667712221923603</v>
      </c>
      <c r="F11" s="7">
        <v>5.6667679580682497</v>
      </c>
      <c r="G11" s="1" t="s">
        <v>40</v>
      </c>
      <c r="I11" s="8">
        <f>C11-B11</f>
        <v>-6.128150706885549E-7</v>
      </c>
      <c r="J11" s="8">
        <f>D11-C11</f>
        <v>-1.6859141625279683E-2</v>
      </c>
      <c r="K11" s="8">
        <f>E11-D11</f>
        <v>6.6733135308503222E-3</v>
      </c>
      <c r="L11" s="8">
        <f>F11-E11</f>
        <v>-3.2641241105579866E-6</v>
      </c>
      <c r="M11" s="1" t="s">
        <v>40</v>
      </c>
      <c r="O11" s="9">
        <f>I11/B11</f>
        <v>-1.0794779652341389E-7</v>
      </c>
      <c r="P11" s="9">
        <f>J11/C11</f>
        <v>-2.9697497225961906E-3</v>
      </c>
      <c r="Q11" s="9">
        <f>K11/D11</f>
        <v>1.1790102642285239E-3</v>
      </c>
      <c r="R11" s="9">
        <f>L11/E11</f>
        <v>-5.7601127389348931E-7</v>
      </c>
      <c r="S11" s="1" t="s">
        <v>40</v>
      </c>
      <c r="U11" s="6">
        <f>C11-$B11</f>
        <v>-6.128150706885549E-7</v>
      </c>
      <c r="V11" s="6">
        <f>D11-$B11</f>
        <v>-1.6859754440350372E-2</v>
      </c>
      <c r="W11" s="6">
        <f>E11-$B11</f>
        <v>-1.018644090950005E-2</v>
      </c>
      <c r="X11" s="6">
        <f>F11-$B11</f>
        <v>-1.0189705033610608E-2</v>
      </c>
      <c r="Y11" s="1" t="s">
        <v>40</v>
      </c>
      <c r="AA11" s="11">
        <f>U11/$B11</f>
        <v>-1.0794779652341389E-7</v>
      </c>
      <c r="AB11" s="11">
        <f t="shared" ref="AB11:AD17" si="0">V11/$B11</f>
        <v>-2.9698573498147755E-3</v>
      </c>
      <c r="AC11" s="11">
        <f t="shared" si="0"/>
        <v>-1.7943485778849778E-3</v>
      </c>
      <c r="AD11" s="11">
        <f t="shared" si="0"/>
        <v>-1.794923555593861E-3</v>
      </c>
      <c r="AE11" s="1" t="s">
        <v>40</v>
      </c>
    </row>
    <row r="12" spans="1:31" x14ac:dyDescent="0.25">
      <c r="A12" s="2">
        <v>40</v>
      </c>
      <c r="B12" s="6">
        <v>7.3569588022155203</v>
      </c>
      <c r="C12" s="7">
        <v>7.3569655160352996</v>
      </c>
      <c r="D12" s="7">
        <v>7.3363077590979904</v>
      </c>
      <c r="E12" s="7">
        <v>7.3521191668429298</v>
      </c>
      <c r="F12" s="7">
        <v>7.3520022973370596</v>
      </c>
      <c r="G12" s="1" t="s">
        <v>40</v>
      </c>
      <c r="I12" s="8">
        <f>C12-B12</f>
        <v>6.7138197792360188E-6</v>
      </c>
      <c r="J12" s="8">
        <f>D12-C12</f>
        <v>-2.0657756937309202E-2</v>
      </c>
      <c r="K12" s="8">
        <f>E12-D12</f>
        <v>1.5811407744939387E-2</v>
      </c>
      <c r="L12" s="8">
        <f>F12-E12</f>
        <v>-1.1686950587019851E-4</v>
      </c>
      <c r="M12" s="1" t="s">
        <v>40</v>
      </c>
      <c r="O12" s="9">
        <f>I12/B12</f>
        <v>9.1258085844033503E-7</v>
      </c>
      <c r="P12" s="9">
        <f>J12/C12</f>
        <v>-2.8079181412884692E-3</v>
      </c>
      <c r="Q12" s="9">
        <f>K12/D12</f>
        <v>2.1552268885300175E-3</v>
      </c>
      <c r="R12" s="9">
        <f>L12/E12</f>
        <v>-1.5896029868131665E-5</v>
      </c>
      <c r="S12" s="1" t="s">
        <v>40</v>
      </c>
      <c r="U12" s="6">
        <f>C12-$B12</f>
        <v>6.7138197792360188E-6</v>
      </c>
      <c r="V12" s="6">
        <f>D12-$B12</f>
        <v>-2.0651043117529966E-2</v>
      </c>
      <c r="W12" s="6">
        <f>E12-$B12</f>
        <v>-4.8396353725905783E-3</v>
      </c>
      <c r="X12" s="6">
        <f>F12-$B12</f>
        <v>-4.9565048784607768E-3</v>
      </c>
      <c r="Y12" s="1" t="s">
        <v>40</v>
      </c>
      <c r="AA12" s="11">
        <f t="shared" ref="AA12:AA68" si="1">U12/$B12</f>
        <v>9.1258085844033503E-7</v>
      </c>
      <c r="AB12" s="11">
        <f t="shared" si="0"/>
        <v>-2.8070081228823767E-3</v>
      </c>
      <c r="AC12" s="11">
        <f t="shared" si="0"/>
        <v>-6.5783097373511737E-4</v>
      </c>
      <c r="AD12" s="11">
        <f t="shared" si="0"/>
        <v>-6.7371654670244231E-4</v>
      </c>
      <c r="AE12" s="1" t="s">
        <v>40</v>
      </c>
    </row>
    <row r="13" spans="1:31" x14ac:dyDescent="0.25">
      <c r="A13" s="2">
        <v>50</v>
      </c>
      <c r="B13" s="6">
        <v>9.5588255944076295</v>
      </c>
      <c r="C13" s="7">
        <v>9.5590413746834901</v>
      </c>
      <c r="D13" s="7">
        <v>9.5347302092163808</v>
      </c>
      <c r="E13" s="7">
        <v>9.5923152291532396</v>
      </c>
      <c r="F13" s="7">
        <v>9.5892702262729301</v>
      </c>
      <c r="G13" s="1" t="s">
        <v>40</v>
      </c>
      <c r="I13" s="8">
        <f>C13-B13</f>
        <v>2.1578027586066639E-4</v>
      </c>
      <c r="J13" s="8">
        <f>D13-C13</f>
        <v>-2.4311165467109319E-2</v>
      </c>
      <c r="K13" s="8">
        <f>E13-D13</f>
        <v>5.7585019936858828E-2</v>
      </c>
      <c r="L13" s="8">
        <f>F13-E13</f>
        <v>-3.0450028803095108E-3</v>
      </c>
      <c r="M13" s="1" t="s">
        <v>40</v>
      </c>
      <c r="O13" s="9">
        <f>I13/B13</f>
        <v>2.2573931674923349E-5</v>
      </c>
      <c r="P13" s="9">
        <f>J13/C13</f>
        <v>-2.5432639648883502E-3</v>
      </c>
      <c r="Q13" s="9">
        <f>K13/D13</f>
        <v>6.0395017659961138E-3</v>
      </c>
      <c r="R13" s="9">
        <f>L13/E13</f>
        <v>-3.1744191131824473E-4</v>
      </c>
      <c r="S13" s="1" t="s">
        <v>40</v>
      </c>
      <c r="U13" s="6">
        <f>C13-$B13</f>
        <v>2.1578027586066639E-4</v>
      </c>
      <c r="V13" s="6">
        <f>D13-$B13</f>
        <v>-2.4095385191248653E-2</v>
      </c>
      <c r="W13" s="6">
        <f>E13-$B13</f>
        <v>3.3489634745610175E-2</v>
      </c>
      <c r="X13" s="6">
        <f>F13-$B13</f>
        <v>3.0444631865300664E-2</v>
      </c>
      <c r="Y13" s="1" t="s">
        <v>40</v>
      </c>
      <c r="AA13" s="11">
        <f t="shared" si="1"/>
        <v>2.2573931674923349E-5</v>
      </c>
      <c r="AB13" s="11">
        <f t="shared" si="0"/>
        <v>-2.5207474446804017E-3</v>
      </c>
      <c r="AC13" s="11">
        <f t="shared" si="0"/>
        <v>3.5035302626719349E-3</v>
      </c>
      <c r="AD13" s="11">
        <f t="shared" si="0"/>
        <v>3.1849761840107463E-3</v>
      </c>
      <c r="AE13" s="1" t="s">
        <v>40</v>
      </c>
    </row>
    <row r="14" spans="1:31" x14ac:dyDescent="0.25">
      <c r="A14" s="2">
        <v>60</v>
      </c>
      <c r="B14" s="6">
        <v>12.681783135351001</v>
      </c>
      <c r="C14" s="7">
        <v>12.684591413982499</v>
      </c>
      <c r="D14" s="7">
        <v>12.6590973579201</v>
      </c>
      <c r="E14" s="7">
        <v>12.8617407426127</v>
      </c>
      <c r="F14" s="7">
        <v>12.8310131039916</v>
      </c>
      <c r="G14" s="1" t="s">
        <v>40</v>
      </c>
      <c r="I14" s="8">
        <f>C14-B14</f>
        <v>2.80827863149824E-3</v>
      </c>
      <c r="J14" s="8">
        <f>D14-C14</f>
        <v>-2.5494056062399295E-2</v>
      </c>
      <c r="K14" s="8">
        <f>E14-D14</f>
        <v>0.20264338469259968</v>
      </c>
      <c r="L14" s="8">
        <f>F14-E14</f>
        <v>-3.0727638621099729E-2</v>
      </c>
      <c r="M14" s="1" t="s">
        <v>40</v>
      </c>
      <c r="O14" s="9">
        <f>I14/B14</f>
        <v>2.2144193774060414E-4</v>
      </c>
      <c r="P14" s="9">
        <f>J14/C14</f>
        <v>-2.0098444822035533E-3</v>
      </c>
      <c r="Q14" s="9">
        <f>K14/D14</f>
        <v>1.6007727799471964E-2</v>
      </c>
      <c r="R14" s="9">
        <f>L14/E14</f>
        <v>-2.3890730839640452E-3</v>
      </c>
      <c r="S14" s="1" t="s">
        <v>40</v>
      </c>
      <c r="U14" s="6">
        <f>C14-$B14</f>
        <v>2.80827863149824E-3</v>
      </c>
      <c r="V14" s="6">
        <f>D14-$B14</f>
        <v>-2.2685777430901055E-2</v>
      </c>
      <c r="W14" s="6">
        <f>E14-$B14</f>
        <v>0.17995760726169863</v>
      </c>
      <c r="X14" s="6">
        <f>F14-$B14</f>
        <v>0.1492299686405989</v>
      </c>
      <c r="Y14" s="1" t="s">
        <v>40</v>
      </c>
      <c r="AA14" s="11">
        <f t="shared" si="1"/>
        <v>2.2144193774060414E-4</v>
      </c>
      <c r="AB14" s="11">
        <f t="shared" si="0"/>
        <v>-1.7888476083196456E-3</v>
      </c>
      <c r="AC14" s="11">
        <f t="shared" si="0"/>
        <v>1.4190244805563601E-2</v>
      </c>
      <c r="AD14" s="11">
        <f t="shared" si="0"/>
        <v>1.1767270189679725E-2</v>
      </c>
      <c r="AE14" s="1" t="s">
        <v>40</v>
      </c>
    </row>
    <row r="15" spans="1:31" x14ac:dyDescent="0.25">
      <c r="A15" s="2">
        <v>70</v>
      </c>
      <c r="B15" s="6">
        <v>12.432328734299199</v>
      </c>
      <c r="C15" s="7">
        <v>12.4428181215862</v>
      </c>
      <c r="D15" s="7">
        <v>12.4234585011784</v>
      </c>
      <c r="E15" s="7">
        <v>12.848319658036701</v>
      </c>
      <c r="F15" s="7">
        <v>12.7660414565874</v>
      </c>
      <c r="G15" s="1" t="s">
        <v>40</v>
      </c>
      <c r="I15" s="8">
        <f>C15-B15</f>
        <v>1.048938728700044E-2</v>
      </c>
      <c r="J15" s="8">
        <f>D15-C15</f>
        <v>-1.9359620407799483E-2</v>
      </c>
      <c r="K15" s="8">
        <f>E15-D15</f>
        <v>0.4248611568583005</v>
      </c>
      <c r="L15" s="8">
        <f>F15-E15</f>
        <v>-8.2278201449300425E-2</v>
      </c>
      <c r="M15" s="1" t="s">
        <v>40</v>
      </c>
      <c r="O15" s="9">
        <f>I15/B15</f>
        <v>8.4371862353201511E-4</v>
      </c>
      <c r="P15" s="9">
        <f>J15/C15</f>
        <v>-1.5558871164574682E-3</v>
      </c>
      <c r="Q15" s="9">
        <f>K15/D15</f>
        <v>3.4198299677823306E-2</v>
      </c>
      <c r="R15" s="9">
        <f>L15/E15</f>
        <v>-6.4038102755199526E-3</v>
      </c>
      <c r="S15" s="1" t="s">
        <v>40</v>
      </c>
      <c r="U15" s="6">
        <f>C15-$B15</f>
        <v>1.048938728700044E-2</v>
      </c>
      <c r="V15" s="6">
        <f>D15-$B15</f>
        <v>-8.8702331207990426E-3</v>
      </c>
      <c r="W15" s="6">
        <f>E15-$B15</f>
        <v>0.41599092373750146</v>
      </c>
      <c r="X15" s="6">
        <f>F15-$B15</f>
        <v>0.33371272228820104</v>
      </c>
      <c r="Y15" s="1" t="s">
        <v>40</v>
      </c>
      <c r="AA15" s="11">
        <f t="shared" si="1"/>
        <v>8.4371862353201511E-4</v>
      </c>
      <c r="AB15" s="11">
        <f t="shared" si="0"/>
        <v>-7.1348122386172177E-4</v>
      </c>
      <c r="AC15" s="11">
        <f t="shared" si="0"/>
        <v>3.3460418609253459E-2</v>
      </c>
      <c r="AD15" s="11">
        <f t="shared" si="0"/>
        <v>2.6842334161220373E-2</v>
      </c>
      <c r="AE15" s="1" t="s">
        <v>40</v>
      </c>
    </row>
    <row r="16" spans="1:31" x14ac:dyDescent="0.25">
      <c r="A16" s="2">
        <v>80</v>
      </c>
      <c r="B16" s="6">
        <v>7.4794286383886401</v>
      </c>
      <c r="C16" s="7">
        <v>7.4947136646989101</v>
      </c>
      <c r="D16" s="7">
        <v>7.4837493603128404</v>
      </c>
      <c r="E16" s="7">
        <v>7.9728831677380603</v>
      </c>
      <c r="F16" s="7">
        <v>7.8528127666521099</v>
      </c>
      <c r="G16" s="1" t="s">
        <v>40</v>
      </c>
      <c r="I16" s="8">
        <f>C16-B16</f>
        <v>1.5285026310269956E-2</v>
      </c>
      <c r="J16" s="8">
        <f>D16-C16</f>
        <v>-1.0964304386069657E-2</v>
      </c>
      <c r="K16" s="8">
        <f>E16-D16</f>
        <v>0.48913380742521984</v>
      </c>
      <c r="L16" s="8">
        <f>F16-E16</f>
        <v>-0.12007040108595035</v>
      </c>
      <c r="M16" s="1" t="s">
        <v>40</v>
      </c>
      <c r="O16" s="9">
        <f>I16/B16</f>
        <v>2.0436088168310869E-3</v>
      </c>
      <c r="P16" s="9">
        <f>J16/C16</f>
        <v>-1.4629383958606687E-3</v>
      </c>
      <c r="Q16" s="9">
        <f>K16/D16</f>
        <v>6.5359458725214814E-2</v>
      </c>
      <c r="R16" s="9">
        <f>L16/E16</f>
        <v>-1.5059847054050689E-2</v>
      </c>
      <c r="S16" s="1" t="s">
        <v>40</v>
      </c>
      <c r="U16" s="6">
        <f>C16-$B16</f>
        <v>1.5285026310269956E-2</v>
      </c>
      <c r="V16" s="6">
        <f>D16-$B16</f>
        <v>4.3207219242002992E-3</v>
      </c>
      <c r="W16" s="6">
        <f>E16-$B16</f>
        <v>0.49345452934942013</v>
      </c>
      <c r="X16" s="6">
        <f>F16-$B16</f>
        <v>0.37338412826346978</v>
      </c>
      <c r="Y16" s="1" t="s">
        <v>40</v>
      </c>
      <c r="AA16" s="11">
        <f t="shared" si="1"/>
        <v>2.0436088168310869E-3</v>
      </c>
      <c r="AB16" s="11">
        <f t="shared" si="0"/>
        <v>5.7768074716615665E-4</v>
      </c>
      <c r="AC16" s="11">
        <f t="shared" si="0"/>
        <v>6.5974896373331718E-2</v>
      </c>
      <c r="AD16" s="11">
        <f t="shared" si="0"/>
        <v>4.9921477470491818E-2</v>
      </c>
      <c r="AE16" s="1" t="s">
        <v>40</v>
      </c>
    </row>
    <row r="17" spans="1:31" x14ac:dyDescent="0.25">
      <c r="A17" s="2">
        <v>90</v>
      </c>
      <c r="B17" s="6">
        <v>3.6942131232992899</v>
      </c>
      <c r="C17" s="7">
        <v>3.7432631788838799</v>
      </c>
      <c r="D17" s="7">
        <v>3.7399911838481801</v>
      </c>
      <c r="E17" s="7">
        <v>3.9476577331383602</v>
      </c>
      <c r="F17" s="7">
        <v>3.8144456084649399</v>
      </c>
      <c r="G17" s="1" t="s">
        <v>40</v>
      </c>
      <c r="I17" s="8">
        <f>C17-B17</f>
        <v>4.905005558459008E-2</v>
      </c>
      <c r="J17" s="8">
        <f>D17-C17</f>
        <v>-3.2719950356998595E-3</v>
      </c>
      <c r="K17" s="8">
        <f>E17-D17</f>
        <v>0.20766654929018014</v>
      </c>
      <c r="L17" s="8">
        <f>F17-E17</f>
        <v>-0.13321212467342036</v>
      </c>
      <c r="M17" s="1" t="s">
        <v>40</v>
      </c>
      <c r="O17" s="9">
        <f>I17/B17</f>
        <v>1.3277538124487965E-2</v>
      </c>
      <c r="P17" s="9">
        <f>J17/C17</f>
        <v>-8.741023217810356E-4</v>
      </c>
      <c r="Q17" s="9">
        <f>K17/D17</f>
        <v>5.5525946207313326E-2</v>
      </c>
      <c r="R17" s="9">
        <f>L17/E17</f>
        <v>-3.3744598361499199E-2</v>
      </c>
      <c r="S17" s="1" t="s">
        <v>40</v>
      </c>
      <c r="U17" s="6">
        <f>C17-$B17</f>
        <v>4.905005558459008E-2</v>
      </c>
      <c r="V17" s="6">
        <f>D17-$B17</f>
        <v>4.577806054889022E-2</v>
      </c>
      <c r="W17" s="6">
        <f>E17-$B17</f>
        <v>0.25344460983907036</v>
      </c>
      <c r="X17" s="6">
        <f>F17-$B17</f>
        <v>0.12023248516564999</v>
      </c>
      <c r="Y17" s="1" t="s">
        <v>40</v>
      </c>
      <c r="AA17" s="11">
        <f t="shared" si="1"/>
        <v>1.3277538124487965E-2</v>
      </c>
      <c r="AB17" s="11">
        <f t="shared" si="0"/>
        <v>1.2391829875804778E-2</v>
      </c>
      <c r="AC17" s="11">
        <f t="shared" si="0"/>
        <v>6.8605844162212215E-2</v>
      </c>
      <c r="AD17" s="11">
        <f t="shared" si="0"/>
        <v>3.2546169144207562E-2</v>
      </c>
      <c r="AE17" s="1" t="s">
        <v>40</v>
      </c>
    </row>
    <row r="18" spans="1:31" x14ac:dyDescent="0.25">
      <c r="B18" s="3"/>
      <c r="C18" s="3"/>
      <c r="D18" s="3"/>
      <c r="E18" s="3"/>
      <c r="F18" s="3"/>
      <c r="G18" s="1" t="s">
        <v>40</v>
      </c>
      <c r="I18" s="3"/>
      <c r="J18" s="3"/>
      <c r="K18" s="3"/>
      <c r="L18" s="3"/>
      <c r="M18" s="1" t="s">
        <v>40</v>
      </c>
      <c r="S18" s="1" t="s">
        <v>40</v>
      </c>
      <c r="U18" s="3"/>
      <c r="V18" s="3"/>
      <c r="W18" s="3"/>
      <c r="X18" s="3"/>
      <c r="Y18" s="1" t="s">
        <v>40</v>
      </c>
      <c r="AA18" s="12"/>
      <c r="AB18" s="12"/>
      <c r="AC18" s="12"/>
      <c r="AD18" s="12"/>
      <c r="AE18" s="1" t="s">
        <v>40</v>
      </c>
    </row>
    <row r="19" spans="1:31" x14ac:dyDescent="0.25">
      <c r="A19" s="1" t="s">
        <v>3</v>
      </c>
      <c r="B19" s="3"/>
      <c r="C19" s="3"/>
      <c r="D19" s="3"/>
      <c r="E19" s="3"/>
      <c r="F19" s="3"/>
      <c r="G19" s="1" t="s">
        <v>40</v>
      </c>
      <c r="I19" s="3"/>
      <c r="J19" s="3"/>
      <c r="K19" s="3"/>
      <c r="L19" s="3"/>
      <c r="M19" s="1" t="s">
        <v>40</v>
      </c>
      <c r="S19" s="1" t="s">
        <v>40</v>
      </c>
      <c r="U19" s="3"/>
      <c r="V19" s="3"/>
      <c r="W19" s="3"/>
      <c r="X19" s="3"/>
      <c r="Y19" s="1" t="s">
        <v>40</v>
      </c>
      <c r="AA19" s="12"/>
      <c r="AB19" s="12"/>
      <c r="AC19" s="12"/>
      <c r="AD19" s="12"/>
      <c r="AE19" s="1" t="s">
        <v>40</v>
      </c>
    </row>
    <row r="20" spans="1:31" x14ac:dyDescent="0.25">
      <c r="A20" s="2" t="s">
        <v>20</v>
      </c>
      <c r="B20" s="3" t="str" cm="1">
        <f t="array" ref="B20:F20">_xlfn.ANCHORARRAY(B10)</f>
        <v>0. AG2024</v>
      </c>
      <c r="C20" s="3" t="str">
        <v>1. AG2024 PreCovid</v>
      </c>
      <c r="D20" s="3" t="str">
        <v>2. Update PreCovid HMD-sterftedate</v>
      </c>
      <c r="E20" s="3" t="str">
        <v>3. Modelwijziging startpunt prognose</v>
      </c>
      <c r="F20" s="3" t="str">
        <v>4. Vernieuwde oversterfteparameters obv 2022/2023</v>
      </c>
      <c r="G20" s="1" t="s">
        <v>40</v>
      </c>
      <c r="H20" s="1" t="str" cm="1">
        <f t="array" ref="H20:L20">_xlfn.ANCHORARRAY(B10)</f>
        <v>0. AG2024</v>
      </c>
      <c r="I20" s="3" t="str">
        <v>1. AG2024 PreCovid</v>
      </c>
      <c r="J20" s="3" t="str">
        <v>2. Update PreCovid HMD-sterftedate</v>
      </c>
      <c r="K20" s="3" t="str">
        <v>3. Modelwijziging startpunt prognose</v>
      </c>
      <c r="L20" s="3" t="str">
        <v>4. Vernieuwde oversterfteparameters obv 2022/2023</v>
      </c>
      <c r="M20" s="1" t="s">
        <v>40</v>
      </c>
      <c r="N20" s="4" t="str" cm="1">
        <f t="array" ref="N20:R20">_xlfn.ANCHORARRAY(B10)</f>
        <v>0. AG2024</v>
      </c>
      <c r="O20" s="4" t="str">
        <v>1. AG2024 PreCovid</v>
      </c>
      <c r="P20" s="4" t="str">
        <v>2. Update PreCovid HMD-sterftedate</v>
      </c>
      <c r="Q20" s="4" t="str">
        <v>3. Modelwijziging startpunt prognose</v>
      </c>
      <c r="R20" s="1" t="str">
        <v>4. Vernieuwde oversterfteparameters obv 2022/2023</v>
      </c>
      <c r="S20" s="1" t="s">
        <v>40</v>
      </c>
      <c r="T20" s="1" t="str" cm="1">
        <f t="array" ref="T20:X20">_xlfn.ANCHORARRAY($B$10)</f>
        <v>0. AG2024</v>
      </c>
      <c r="U20" s="3" t="str">
        <v>1. AG2024 PreCovid</v>
      </c>
      <c r="V20" s="3" t="str">
        <v>2. Update PreCovid HMD-sterftedate</v>
      </c>
      <c r="W20" s="3" t="str">
        <v>3. Modelwijziging startpunt prognose</v>
      </c>
      <c r="X20" s="3" t="str">
        <v>4. Vernieuwde oversterfteparameters obv 2022/2023</v>
      </c>
      <c r="Y20" s="1" t="s">
        <v>40</v>
      </c>
      <c r="Z20" s="1" t="str" cm="1">
        <f t="array" ref="Z20:AD20">_xlfn.ANCHORARRAY($B$10)</f>
        <v>0. AG2024</v>
      </c>
      <c r="AA20" s="12" t="str">
        <v>1. AG2024 PreCovid</v>
      </c>
      <c r="AB20" s="12" t="str">
        <v>2. Update PreCovid HMD-sterftedate</v>
      </c>
      <c r="AC20" s="12" t="str">
        <v>3. Modelwijziging startpunt prognose</v>
      </c>
      <c r="AD20" s="12" t="str">
        <v>4. Vernieuwde oversterfteparameters obv 2022/2023</v>
      </c>
      <c r="AE20" s="1" t="s">
        <v>40</v>
      </c>
    </row>
    <row r="21" spans="1:31" x14ac:dyDescent="0.25">
      <c r="A21" s="2">
        <v>30</v>
      </c>
      <c r="B21" s="6">
        <v>1.91854052169606</v>
      </c>
      <c r="C21" s="7">
        <v>1.9185409966023701</v>
      </c>
      <c r="D21" s="7">
        <v>1.9233813192337501</v>
      </c>
      <c r="E21" s="7">
        <v>1.8986903543323601</v>
      </c>
      <c r="F21" s="7">
        <v>1.89869549288686</v>
      </c>
      <c r="G21" s="1" t="s">
        <v>40</v>
      </c>
      <c r="I21" s="8">
        <f>C21-B21</f>
        <v>4.7490631005508988E-7</v>
      </c>
      <c r="J21" s="8">
        <f>D21-C21</f>
        <v>4.8403226313800118E-3</v>
      </c>
      <c r="K21" s="8">
        <f>E21-D21</f>
        <v>-2.469096490139E-2</v>
      </c>
      <c r="L21" s="8">
        <f>F21-E21</f>
        <v>5.1385544999060784E-6</v>
      </c>
      <c r="M21" s="1" t="s">
        <v>40</v>
      </c>
      <c r="O21" s="9">
        <f>I21/B21</f>
        <v>2.4753519911857546E-7</v>
      </c>
      <c r="P21" s="9">
        <f>J21/C21</f>
        <v>2.5229185302539561E-3</v>
      </c>
      <c r="Q21" s="9">
        <f>K21/D21</f>
        <v>-1.283726978861714E-2</v>
      </c>
      <c r="R21" s="9">
        <f>L21/E21</f>
        <v>2.7063678330598341E-6</v>
      </c>
      <c r="S21" s="1" t="s">
        <v>40</v>
      </c>
      <c r="U21" s="6">
        <f>C21-$B21</f>
        <v>4.7490631005508988E-7</v>
      </c>
      <c r="V21" s="6">
        <f>D21-$B21</f>
        <v>4.8407975376900669E-3</v>
      </c>
      <c r="W21" s="6">
        <f>E21-$B21</f>
        <v>-1.9850167363699933E-2</v>
      </c>
      <c r="X21" s="6">
        <f>F21-$B21</f>
        <v>-1.9845028809200027E-2</v>
      </c>
      <c r="Y21" s="1" t="s">
        <v>40</v>
      </c>
      <c r="AA21" s="13">
        <f t="shared" si="1"/>
        <v>2.4753519911857546E-7</v>
      </c>
      <c r="AB21" s="13">
        <f t="shared" ref="AB21:AB27" si="2">V21/$B21</f>
        <v>2.5231666899642154E-3</v>
      </c>
      <c r="AC21" s="13">
        <f t="shared" ref="AC21:AC27" si="3">W21/$B21</f>
        <v>-1.0346493670173647E-2</v>
      </c>
      <c r="AD21" s="13">
        <f t="shared" ref="AD21:AD27" si="4">X21/$B21</f>
        <v>-1.0343815303758242E-2</v>
      </c>
      <c r="AE21" s="1" t="s">
        <v>40</v>
      </c>
    </row>
    <row r="22" spans="1:31" x14ac:dyDescent="0.25">
      <c r="A22" s="2">
        <v>40</v>
      </c>
      <c r="B22" s="6">
        <v>2.6130554438530602</v>
      </c>
      <c r="C22" s="7">
        <v>2.6130471852367099</v>
      </c>
      <c r="D22" s="7">
        <v>2.6174361408570999</v>
      </c>
      <c r="E22" s="7">
        <v>2.5798171144901998</v>
      </c>
      <c r="F22" s="7">
        <v>2.5799684281927</v>
      </c>
      <c r="G22" s="1" t="s">
        <v>40</v>
      </c>
      <c r="I22" s="8">
        <f>C22-B22</f>
        <v>-8.2586163503428622E-6</v>
      </c>
      <c r="J22" s="8">
        <f>D22-C22</f>
        <v>4.3889556203899893E-3</v>
      </c>
      <c r="K22" s="8">
        <f>E22-D22</f>
        <v>-3.7619026366900066E-2</v>
      </c>
      <c r="L22" s="8">
        <f>F22-E22</f>
        <v>1.5131370250021092E-4</v>
      </c>
      <c r="M22" s="1" t="s">
        <v>40</v>
      </c>
      <c r="O22" s="9">
        <f>I22/B22</f>
        <v>-3.1605209027502246E-6</v>
      </c>
      <c r="P22" s="9">
        <f>J22/C22</f>
        <v>1.6796312156882862E-3</v>
      </c>
      <c r="Q22" s="9">
        <f>K22/D22</f>
        <v>-1.4372471511217623E-2</v>
      </c>
      <c r="R22" s="9">
        <f>L22/E22</f>
        <v>5.8652879558910968E-5</v>
      </c>
      <c r="S22" s="1" t="s">
        <v>40</v>
      </c>
      <c r="U22" s="6">
        <f>C22-$B22</f>
        <v>-8.2586163503428622E-6</v>
      </c>
      <c r="V22" s="6">
        <f>D22-$B22</f>
        <v>4.3806970040396465E-3</v>
      </c>
      <c r="W22" s="6">
        <f>E22-$B22</f>
        <v>-3.3238329362860419E-2</v>
      </c>
      <c r="X22" s="6">
        <f>F22-$B22</f>
        <v>-3.3087015660360208E-2</v>
      </c>
      <c r="Y22" s="1" t="s">
        <v>40</v>
      </c>
      <c r="AA22" s="13">
        <f t="shared" si="1"/>
        <v>-3.1605209027502246E-6</v>
      </c>
      <c r="AB22" s="13">
        <f t="shared" si="2"/>
        <v>1.6764653862759698E-3</v>
      </c>
      <c r="AC22" s="13">
        <f t="shared" si="3"/>
        <v>-1.2720101075945447E-2</v>
      </c>
      <c r="AD22" s="13">
        <f t="shared" si="4"/>
        <v>-1.2662194266942921E-2</v>
      </c>
      <c r="AE22" s="1" t="s">
        <v>40</v>
      </c>
    </row>
    <row r="23" spans="1:31" x14ac:dyDescent="0.25">
      <c r="A23" s="2">
        <v>50</v>
      </c>
      <c r="B23" s="6">
        <v>3.44706150640061</v>
      </c>
      <c r="C23" s="7">
        <v>3.4468057326570101</v>
      </c>
      <c r="D23" s="7">
        <v>3.4503981537044299</v>
      </c>
      <c r="E23" s="7">
        <v>3.36739085980658</v>
      </c>
      <c r="F23" s="7">
        <v>3.3712807214887199</v>
      </c>
      <c r="G23" s="1" t="s">
        <v>40</v>
      </c>
      <c r="I23" s="8">
        <f>C23-B23</f>
        <v>-2.5577374359997407E-4</v>
      </c>
      <c r="J23" s="8">
        <f>D23-C23</f>
        <v>3.5924210474198581E-3</v>
      </c>
      <c r="K23" s="8">
        <f>E23-D23</f>
        <v>-8.3007293897849888E-2</v>
      </c>
      <c r="L23" s="8">
        <f>F23-E23</f>
        <v>3.8898616821398946E-3</v>
      </c>
      <c r="M23" s="1" t="s">
        <v>40</v>
      </c>
      <c r="O23" s="9">
        <f>I23/B23</f>
        <v>-7.4200516331096938E-5</v>
      </c>
      <c r="P23" s="9">
        <f>J23/C23</f>
        <v>1.0422464525294262E-3</v>
      </c>
      <c r="Q23" s="9">
        <f>K23/D23</f>
        <v>-2.405730880905187E-2</v>
      </c>
      <c r="R23" s="9">
        <f>L23/E23</f>
        <v>1.155155978051008E-3</v>
      </c>
      <c r="S23" s="1" t="s">
        <v>40</v>
      </c>
      <c r="U23" s="6">
        <f>C23-$B23</f>
        <v>-2.5577374359997407E-4</v>
      </c>
      <c r="V23" s="6">
        <f>D23-$B23</f>
        <v>3.3366473038198841E-3</v>
      </c>
      <c r="W23" s="6">
        <f>E23-$B23</f>
        <v>-7.9670646594030003E-2</v>
      </c>
      <c r="X23" s="6">
        <f>F23-$B23</f>
        <v>-7.5780784911890109E-2</v>
      </c>
      <c r="Y23" s="1" t="s">
        <v>40</v>
      </c>
      <c r="AA23" s="13">
        <f t="shared" si="1"/>
        <v>-7.4200516331096938E-5</v>
      </c>
      <c r="AB23" s="13">
        <f t="shared" si="2"/>
        <v>9.6796860097340726E-4</v>
      </c>
      <c r="AC23" s="13">
        <f t="shared" si="3"/>
        <v>-2.3112626927629547E-2</v>
      </c>
      <c r="AD23" s="13">
        <f t="shared" si="4"/>
        <v>-2.1984169638742453E-2</v>
      </c>
      <c r="AE23" s="1" t="s">
        <v>40</v>
      </c>
    </row>
    <row r="24" spans="1:31" x14ac:dyDescent="0.25">
      <c r="A24" s="2">
        <v>60</v>
      </c>
      <c r="B24" s="6">
        <v>4.1886010399201403</v>
      </c>
      <c r="C24" s="7">
        <v>4.1864759683186703</v>
      </c>
      <c r="D24" s="7">
        <v>4.1871573601250196</v>
      </c>
      <c r="E24" s="7">
        <v>3.9925284634837301</v>
      </c>
      <c r="F24" s="7">
        <v>4.0229709143546799</v>
      </c>
      <c r="G24" s="1" t="s">
        <v>40</v>
      </c>
      <c r="I24" s="8">
        <f>C24-B24</f>
        <v>-2.1250716014700188E-3</v>
      </c>
      <c r="J24" s="8">
        <f>D24-C24</f>
        <v>6.813918063492963E-4</v>
      </c>
      <c r="K24" s="8">
        <f>E24-D24</f>
        <v>-0.19462889664128946</v>
      </c>
      <c r="L24" s="8">
        <f>F24-E24</f>
        <v>3.0442450870949767E-2</v>
      </c>
      <c r="M24" s="1" t="s">
        <v>40</v>
      </c>
      <c r="O24" s="9">
        <f>I24/B24</f>
        <v>-5.0734638635111819E-4</v>
      </c>
      <c r="P24" s="9">
        <f>J24/C24</f>
        <v>1.6276023354863539E-4</v>
      </c>
      <c r="Q24" s="9">
        <f>K24/D24</f>
        <v>-4.6482345873783512E-2</v>
      </c>
      <c r="R24" s="9">
        <f>L24/E24</f>
        <v>7.624855063496987E-3</v>
      </c>
      <c r="S24" s="1" t="s">
        <v>40</v>
      </c>
      <c r="U24" s="6">
        <f>C24-$B24</f>
        <v>-2.1250716014700188E-3</v>
      </c>
      <c r="V24" s="6">
        <f>D24-$B24</f>
        <v>-1.4436797951207225E-3</v>
      </c>
      <c r="W24" s="6">
        <f>E24-$B24</f>
        <v>-0.19607257643641018</v>
      </c>
      <c r="X24" s="6">
        <f>F24-$B24</f>
        <v>-0.16563012556546042</v>
      </c>
      <c r="Y24" s="1" t="s">
        <v>40</v>
      </c>
      <c r="AA24" s="13">
        <f t="shared" si="1"/>
        <v>-5.0734638635111819E-4</v>
      </c>
      <c r="AB24" s="13">
        <f t="shared" si="2"/>
        <v>-3.4466872861881531E-4</v>
      </c>
      <c r="AC24" s="13">
        <f t="shared" si="3"/>
        <v>-4.6810993591346786E-2</v>
      </c>
      <c r="AD24" s="13">
        <f t="shared" si="4"/>
        <v>-3.9543065569362108E-2</v>
      </c>
      <c r="AE24" s="1" t="s">
        <v>40</v>
      </c>
    </row>
    <row r="25" spans="1:31" x14ac:dyDescent="0.25">
      <c r="A25" s="2">
        <v>70</v>
      </c>
      <c r="B25" s="6">
        <v>4.5250918417567796</v>
      </c>
      <c r="C25" s="7">
        <v>4.5248984826955603</v>
      </c>
      <c r="D25" s="7">
        <v>4.5189960958844901</v>
      </c>
      <c r="E25" s="7">
        <v>4.1694034229660302</v>
      </c>
      <c r="F25" s="7">
        <v>4.2313419690757499</v>
      </c>
      <c r="G25" s="1" t="s">
        <v>40</v>
      </c>
      <c r="I25" s="8">
        <f>C25-B25</f>
        <v>-1.9335906121931146E-4</v>
      </c>
      <c r="J25" s="8">
        <f>D25-C25</f>
        <v>-5.9023868110701372E-3</v>
      </c>
      <c r="K25" s="8">
        <f>E25-D25</f>
        <v>-0.34959267291845997</v>
      </c>
      <c r="L25" s="8">
        <f>F25-E25</f>
        <v>6.1938546109719717E-2</v>
      </c>
      <c r="M25" s="1" t="s">
        <v>40</v>
      </c>
      <c r="O25" s="9">
        <f>I25/B25</f>
        <v>-4.2730416968563348E-5</v>
      </c>
      <c r="P25" s="9">
        <f>J25/C25</f>
        <v>-1.3044241398215818E-3</v>
      </c>
      <c r="Q25" s="9">
        <f>K25/D25</f>
        <v>-7.7360693725059576E-2</v>
      </c>
      <c r="R25" s="9">
        <f>L25/E25</f>
        <v>1.4855493658528699E-2</v>
      </c>
      <c r="S25" s="1" t="s">
        <v>40</v>
      </c>
      <c r="U25" s="6">
        <f>C25-$B25</f>
        <v>-1.9335906121931146E-4</v>
      </c>
      <c r="V25" s="6">
        <f>D25-$B25</f>
        <v>-6.0957458722894486E-3</v>
      </c>
      <c r="W25" s="6">
        <f>E25-$B25</f>
        <v>-0.35568841879074942</v>
      </c>
      <c r="X25" s="6">
        <f>F25-$B25</f>
        <v>-0.2937498726810297</v>
      </c>
      <c r="Y25" s="1" t="s">
        <v>40</v>
      </c>
      <c r="AA25" s="13">
        <f t="shared" si="1"/>
        <v>-4.2730416968563348E-5</v>
      </c>
      <c r="AB25" s="13">
        <f t="shared" si="2"/>
        <v>-1.3470988182027468E-3</v>
      </c>
      <c r="AC25" s="13">
        <f t="shared" si="3"/>
        <v>-7.8603580044169938E-2</v>
      </c>
      <c r="AD25" s="13">
        <f t="shared" si="4"/>
        <v>-6.4915781370525061E-2</v>
      </c>
      <c r="AE25" s="1" t="s">
        <v>40</v>
      </c>
    </row>
    <row r="26" spans="1:31" x14ac:dyDescent="0.25">
      <c r="A26" s="2">
        <v>80</v>
      </c>
      <c r="B26" s="6">
        <v>4.1169357811493104</v>
      </c>
      <c r="C26" s="7">
        <v>4.1224777048100698</v>
      </c>
      <c r="D26" s="7">
        <v>4.11345226249402</v>
      </c>
      <c r="E26" s="7">
        <v>3.76517866664748</v>
      </c>
      <c r="F26" s="7">
        <v>3.8394683937317802</v>
      </c>
      <c r="G26" s="1" t="s">
        <v>40</v>
      </c>
      <c r="I26" s="8">
        <f>C26-B26</f>
        <v>5.5419236607594513E-3</v>
      </c>
      <c r="J26" s="8">
        <f>D26-C26</f>
        <v>-9.0254423160498476E-3</v>
      </c>
      <c r="K26" s="8">
        <f>E26-D26</f>
        <v>-0.34827359584653994</v>
      </c>
      <c r="L26" s="8">
        <f>F26-E26</f>
        <v>7.428972708430015E-2</v>
      </c>
      <c r="M26" s="1" t="s">
        <v>40</v>
      </c>
      <c r="O26" s="9">
        <f>I26/B26</f>
        <v>1.346128274853083E-3</v>
      </c>
      <c r="P26" s="9">
        <f>J26/C26</f>
        <v>-2.1893247125433918E-3</v>
      </c>
      <c r="Q26" s="9">
        <f>K26/D26</f>
        <v>-8.4666983745516664E-2</v>
      </c>
      <c r="R26" s="9">
        <f>L26/E26</f>
        <v>1.9730730905911518E-2</v>
      </c>
      <c r="S26" s="1" t="s">
        <v>40</v>
      </c>
      <c r="U26" s="6">
        <f>C26-$B26</f>
        <v>5.5419236607594513E-3</v>
      </c>
      <c r="V26" s="6">
        <f>D26-$B26</f>
        <v>-3.4835186552903963E-3</v>
      </c>
      <c r="W26" s="6">
        <f>E26-$B26</f>
        <v>-0.35175711450183034</v>
      </c>
      <c r="X26" s="6">
        <f>F26-$B26</f>
        <v>-0.27746738741753019</v>
      </c>
      <c r="Y26" s="1" t="s">
        <v>40</v>
      </c>
      <c r="AA26" s="13">
        <f t="shared" si="1"/>
        <v>1.346128274853083E-3</v>
      </c>
      <c r="AB26" s="13">
        <f t="shared" si="2"/>
        <v>-8.4614354958869795E-4</v>
      </c>
      <c r="AC26" s="13">
        <f t="shared" si="3"/>
        <v>-8.5441486872945963E-2</v>
      </c>
      <c r="AD26" s="13">
        <f t="shared" si="4"/>
        <v>-6.7396578952725508E-2</v>
      </c>
      <c r="AE26" s="1" t="s">
        <v>40</v>
      </c>
    </row>
    <row r="27" spans="1:31" x14ac:dyDescent="0.25">
      <c r="A27" s="2">
        <v>90</v>
      </c>
      <c r="B27" s="6">
        <v>2.6256041523534899</v>
      </c>
      <c r="C27" s="7">
        <v>2.6242088809385602</v>
      </c>
      <c r="D27" s="7">
        <v>2.61869053378574</v>
      </c>
      <c r="E27" s="7">
        <v>2.4869869643159901</v>
      </c>
      <c r="F27" s="7">
        <v>2.5391497310626998</v>
      </c>
      <c r="G27" s="1" t="s">
        <v>40</v>
      </c>
      <c r="I27" s="8">
        <f>C27-B27</f>
        <v>-1.3952714149296774E-3</v>
      </c>
      <c r="J27" s="8">
        <f>D27-C27</f>
        <v>-5.51834715282018E-3</v>
      </c>
      <c r="K27" s="8">
        <f>E27-D27</f>
        <v>-0.13170356946974993</v>
      </c>
      <c r="L27" s="8">
        <f>F27-E27</f>
        <v>5.2162766746709721E-2</v>
      </c>
      <c r="M27" s="1" t="s">
        <v>40</v>
      </c>
      <c r="O27" s="9">
        <f>I27/B27</f>
        <v>-5.3140966191686208E-4</v>
      </c>
      <c r="P27" s="9">
        <f>J27/C27</f>
        <v>-2.1028612443558677E-3</v>
      </c>
      <c r="Q27" s="9">
        <f>K27/D27</f>
        <v>-5.0293674556248981E-2</v>
      </c>
      <c r="R27" s="9">
        <f>L27/E27</f>
        <v>2.0974282332459404E-2</v>
      </c>
      <c r="S27" s="1" t="s">
        <v>40</v>
      </c>
      <c r="U27" s="6">
        <f>C27-$B27</f>
        <v>-1.3952714149296774E-3</v>
      </c>
      <c r="V27" s="6">
        <f>D27-$B27</f>
        <v>-6.9136185677498574E-3</v>
      </c>
      <c r="W27" s="6">
        <f>E27-$B27</f>
        <v>-0.13861718803749978</v>
      </c>
      <c r="X27" s="6">
        <f>F27-$B27</f>
        <v>-8.6454421290790062E-2</v>
      </c>
      <c r="Y27" s="1" t="s">
        <v>40</v>
      </c>
      <c r="AA27" s="13">
        <f t="shared" si="1"/>
        <v>-5.3140966191686208E-4</v>
      </c>
      <c r="AB27" s="13">
        <f t="shared" si="2"/>
        <v>-2.6331534254898088E-3</v>
      </c>
      <c r="AC27" s="13">
        <f t="shared" si="3"/>
        <v>-5.2794397020300532E-2</v>
      </c>
      <c r="AD27" s="13">
        <f t="shared" si="4"/>
        <v>-3.2927439276516861E-2</v>
      </c>
      <c r="AE27" s="1" t="s">
        <v>40</v>
      </c>
    </row>
    <row r="28" spans="1:31" x14ac:dyDescent="0.25">
      <c r="B28" s="3"/>
      <c r="C28" s="3"/>
      <c r="D28" s="3"/>
      <c r="E28" s="3"/>
      <c r="F28" s="3"/>
      <c r="G28" s="1" t="s">
        <v>40</v>
      </c>
      <c r="I28" s="3"/>
      <c r="J28" s="3"/>
      <c r="K28" s="3"/>
      <c r="L28" s="3"/>
      <c r="M28" s="1" t="s">
        <v>40</v>
      </c>
      <c r="S28" s="1" t="s">
        <v>40</v>
      </c>
      <c r="U28" s="3"/>
      <c r="V28" s="3"/>
      <c r="W28" s="3"/>
      <c r="X28" s="3"/>
      <c r="Y28" s="1" t="s">
        <v>40</v>
      </c>
      <c r="AA28" s="12"/>
      <c r="AB28" s="12"/>
      <c r="AC28" s="12"/>
      <c r="AD28" s="12"/>
      <c r="AE28" s="1" t="s">
        <v>40</v>
      </c>
    </row>
    <row r="29" spans="1:31" x14ac:dyDescent="0.25">
      <c r="A29" s="1" t="s">
        <v>4</v>
      </c>
      <c r="B29" s="3"/>
      <c r="C29" s="3"/>
      <c r="D29" s="3"/>
      <c r="E29" s="3"/>
      <c r="F29" s="3"/>
      <c r="G29" s="1" t="s">
        <v>40</v>
      </c>
      <c r="I29" s="3"/>
      <c r="J29" s="3"/>
      <c r="K29" s="3"/>
      <c r="L29" s="3"/>
      <c r="M29" s="1" t="s">
        <v>40</v>
      </c>
      <c r="S29" s="1" t="s">
        <v>40</v>
      </c>
      <c r="U29" s="3"/>
      <c r="V29" s="3"/>
      <c r="W29" s="3"/>
      <c r="X29" s="3"/>
      <c r="Y29" s="1" t="s">
        <v>40</v>
      </c>
      <c r="AA29" s="12"/>
      <c r="AB29" s="12"/>
      <c r="AC29" s="12"/>
      <c r="AD29" s="12"/>
      <c r="AE29" s="1" t="s">
        <v>40</v>
      </c>
    </row>
    <row r="30" spans="1:31" x14ac:dyDescent="0.25">
      <c r="A30" s="2" t="s">
        <v>20</v>
      </c>
      <c r="B30" s="3" t="str" cm="1">
        <f t="array" ref="B30:F30">_xlfn.ANCHORARRAY(B20)</f>
        <v>0. AG2024</v>
      </c>
      <c r="C30" s="3" t="str">
        <v>1. AG2024 PreCovid</v>
      </c>
      <c r="D30" s="3" t="str">
        <v>2. Update PreCovid HMD-sterftedate</v>
      </c>
      <c r="E30" s="3" t="str">
        <v>3. Modelwijziging startpunt prognose</v>
      </c>
      <c r="F30" s="3" t="str">
        <v>4. Vernieuwde oversterfteparameters obv 2022/2023</v>
      </c>
      <c r="G30" s="1" t="s">
        <v>40</v>
      </c>
      <c r="H30" s="1" t="str" cm="1">
        <f t="array" ref="H30:L30">_xlfn.ANCHORARRAY(B10)</f>
        <v>0. AG2024</v>
      </c>
      <c r="I30" s="3" t="str">
        <v>1. AG2024 PreCovid</v>
      </c>
      <c r="J30" s="3" t="str">
        <v>2. Update PreCovid HMD-sterftedate</v>
      </c>
      <c r="K30" s="3" t="str">
        <v>3. Modelwijziging startpunt prognose</v>
      </c>
      <c r="L30" s="3" t="str">
        <v>4. Vernieuwde oversterfteparameters obv 2022/2023</v>
      </c>
      <c r="M30" s="1" t="s">
        <v>40</v>
      </c>
      <c r="N30" s="4" t="str" cm="1">
        <f t="array" ref="N30:R30">_xlfn.ANCHORARRAY(B10)</f>
        <v>0. AG2024</v>
      </c>
      <c r="O30" s="4" t="str">
        <v>1. AG2024 PreCovid</v>
      </c>
      <c r="P30" s="4" t="str">
        <v>2. Update PreCovid HMD-sterftedate</v>
      </c>
      <c r="Q30" s="4" t="str">
        <v>3. Modelwijziging startpunt prognose</v>
      </c>
      <c r="R30" s="1" t="str">
        <v>4. Vernieuwde oversterfteparameters obv 2022/2023</v>
      </c>
      <c r="S30" s="1" t="s">
        <v>40</v>
      </c>
      <c r="T30" s="1" t="str" cm="1">
        <f t="array" ref="T30:X30">_xlfn.ANCHORARRAY($B$10)</f>
        <v>0. AG2024</v>
      </c>
      <c r="U30" s="3" t="str">
        <v>1. AG2024 PreCovid</v>
      </c>
      <c r="V30" s="3" t="str">
        <v>2. Update PreCovid HMD-sterftedate</v>
      </c>
      <c r="W30" s="3" t="str">
        <v>3. Modelwijziging startpunt prognose</v>
      </c>
      <c r="X30" s="3" t="str">
        <v>4. Vernieuwde oversterfteparameters obv 2022/2023</v>
      </c>
      <c r="Y30" s="1" t="s">
        <v>40</v>
      </c>
      <c r="Z30" s="1" t="str" cm="1">
        <f t="array" ref="Z30:AD30">_xlfn.ANCHORARRAY($B$10)</f>
        <v>0. AG2024</v>
      </c>
      <c r="AA30" s="12" t="str">
        <v>1. AG2024 PreCovid</v>
      </c>
      <c r="AB30" s="12" t="str">
        <v>2. Update PreCovid HMD-sterftedate</v>
      </c>
      <c r="AC30" s="12" t="str">
        <v>3. Modelwijziging startpunt prognose</v>
      </c>
      <c r="AD30" s="12" t="str">
        <v>4. Vernieuwde oversterfteparameters obv 2022/2023</v>
      </c>
      <c r="AE30" s="1" t="s">
        <v>40</v>
      </c>
    </row>
    <row r="31" spans="1:31" x14ac:dyDescent="0.25">
      <c r="A31" s="2">
        <v>30</v>
      </c>
      <c r="B31" s="6">
        <v>27.2091477549688</v>
      </c>
      <c r="C31" s="7">
        <v>27.209147169326702</v>
      </c>
      <c r="D31" s="7">
        <v>27.191419231972599</v>
      </c>
      <c r="E31" s="7">
        <v>27.217036319402201</v>
      </c>
      <c r="F31" s="7">
        <v>27.217031486976602</v>
      </c>
      <c r="G31" s="1" t="s">
        <v>40</v>
      </c>
      <c r="I31" s="8">
        <f>C31-B31</f>
        <v>-5.8564209837186354E-7</v>
      </c>
      <c r="J31" s="8">
        <f>D31-C31</f>
        <v>-1.7727937354102608E-2</v>
      </c>
      <c r="K31" s="8">
        <f>E31-D31</f>
        <v>2.5617087429601781E-2</v>
      </c>
      <c r="L31" s="8">
        <f>F31-E31</f>
        <v>-4.8324255992326925E-6</v>
      </c>
      <c r="M31" s="1" t="s">
        <v>40</v>
      </c>
      <c r="O31" s="9">
        <f>I31/B31</f>
        <v>-2.1523720759130225E-8</v>
      </c>
      <c r="P31" s="9">
        <f>J31/C31</f>
        <v>-6.5154329328217934E-4</v>
      </c>
      <c r="Q31" s="9">
        <f>K31/D31</f>
        <v>9.4210188924160069E-4</v>
      </c>
      <c r="R31" s="9">
        <f>L31/E31</f>
        <v>-1.7755149908764322E-7</v>
      </c>
      <c r="S31" s="1" t="s">
        <v>40</v>
      </c>
      <c r="U31" s="6">
        <f>C31-$B31</f>
        <v>-5.8564209837186354E-7</v>
      </c>
      <c r="V31" s="6">
        <f>D31-$B31</f>
        <v>-1.7728522996200979E-2</v>
      </c>
      <c r="W31" s="6">
        <f>E31-$B31</f>
        <v>7.888564433400802E-3</v>
      </c>
      <c r="X31" s="6">
        <f>F31-$B31</f>
        <v>7.8837320078015694E-3</v>
      </c>
      <c r="Y31" s="1" t="s">
        <v>40</v>
      </c>
      <c r="AA31" s="13">
        <f t="shared" si="1"/>
        <v>-2.1523720759130225E-8</v>
      </c>
      <c r="AB31" s="13">
        <f t="shared" ref="AB31:AB37" si="5">V31/$B31</f>
        <v>-6.5156480297930261E-4</v>
      </c>
      <c r="AC31" s="13">
        <f t="shared" ref="AC31:AC37" si="6">W31/$B31</f>
        <v>2.8992324583044799E-4</v>
      </c>
      <c r="AD31" s="13">
        <f t="shared" ref="AD31:AD37" si="7">X31/$B31</f>
        <v>2.8974564285505348E-4</v>
      </c>
      <c r="AE31" s="1" t="s">
        <v>40</v>
      </c>
    </row>
    <row r="32" spans="1:31" x14ac:dyDescent="0.25">
      <c r="A32" s="2">
        <v>40</v>
      </c>
      <c r="B32" s="6">
        <v>24.723907543043001</v>
      </c>
      <c r="C32" s="7">
        <v>24.723917336756902</v>
      </c>
      <c r="D32" s="7">
        <v>24.702711653098799</v>
      </c>
      <c r="E32" s="7">
        <v>24.742597189161099</v>
      </c>
      <c r="F32" s="7">
        <v>24.742433952497599</v>
      </c>
      <c r="G32" s="1" t="s">
        <v>40</v>
      </c>
      <c r="I32" s="8">
        <f>C32-B32</f>
        <v>9.793713900307921E-6</v>
      </c>
      <c r="J32" s="8">
        <f>D32-C32</f>
        <v>-2.1205683658102714E-2</v>
      </c>
      <c r="K32" s="8">
        <f>E32-D32</f>
        <v>3.9885536062300275E-2</v>
      </c>
      <c r="L32" s="8">
        <f>F32-E32</f>
        <v>-1.6323666350004373E-4</v>
      </c>
      <c r="M32" s="1" t="s">
        <v>40</v>
      </c>
      <c r="O32" s="9">
        <f>I32/B32</f>
        <v>3.9612322134992574E-7</v>
      </c>
      <c r="P32" s="9">
        <f>J32/C32</f>
        <v>-8.5769918129342511E-4</v>
      </c>
      <c r="Q32" s="9">
        <f>K32/D32</f>
        <v>1.6146217719906425E-3</v>
      </c>
      <c r="R32" s="9">
        <f>L32/E32</f>
        <v>-6.5973940509184793E-6</v>
      </c>
      <c r="S32" s="1" t="s">
        <v>40</v>
      </c>
      <c r="U32" s="6">
        <f>C32-$B32</f>
        <v>9.793713900307921E-6</v>
      </c>
      <c r="V32" s="6">
        <f>D32-$B32</f>
        <v>-2.1195889944202406E-2</v>
      </c>
      <c r="W32" s="6">
        <f>E32-$B32</f>
        <v>1.8689646118097869E-2</v>
      </c>
      <c r="X32" s="6">
        <f>F32-$B32</f>
        <v>1.8526409454597825E-2</v>
      </c>
      <c r="Y32" s="1" t="s">
        <v>40</v>
      </c>
      <c r="AA32" s="13">
        <f t="shared" si="1"/>
        <v>3.9612322134992574E-7</v>
      </c>
      <c r="AB32" s="13">
        <f t="shared" si="5"/>
        <v>-8.5730339782663786E-4</v>
      </c>
      <c r="AC32" s="13">
        <f t="shared" si="6"/>
        <v>7.5593415343267216E-4</v>
      </c>
      <c r="AD32" s="13">
        <f t="shared" si="7"/>
        <v>7.4933177218626697E-4</v>
      </c>
      <c r="AE32" s="1" t="s">
        <v>40</v>
      </c>
    </row>
    <row r="33" spans="1:31" x14ac:dyDescent="0.25">
      <c r="A33" s="2">
        <v>50</v>
      </c>
      <c r="B33" s="6">
        <v>21.409376454731799</v>
      </c>
      <c r="C33" s="7">
        <v>21.409683245381299</v>
      </c>
      <c r="D33" s="7">
        <v>21.384854435872899</v>
      </c>
      <c r="E33" s="7">
        <v>21.474796755116198</v>
      </c>
      <c r="F33" s="7">
        <v>21.470537887494402</v>
      </c>
      <c r="G33" s="1" t="s">
        <v>40</v>
      </c>
      <c r="I33" s="8">
        <f>C33-B33</f>
        <v>3.0679064949978851E-4</v>
      </c>
      <c r="J33" s="8">
        <f>D33-C33</f>
        <v>-2.4828809508399274E-2</v>
      </c>
      <c r="K33" s="8">
        <f>E33-D33</f>
        <v>8.9942319243299096E-2</v>
      </c>
      <c r="L33" s="8">
        <f>F33-E33</f>
        <v>-4.2588676217967247E-3</v>
      </c>
      <c r="M33" s="1" t="s">
        <v>40</v>
      </c>
      <c r="O33" s="9">
        <f>I33/B33</f>
        <v>1.4329733056376946E-5</v>
      </c>
      <c r="P33" s="9">
        <f>J33/C33</f>
        <v>-1.1596999929345327E-3</v>
      </c>
      <c r="Q33" s="9">
        <f>K33/D33</f>
        <v>4.2058887757693442E-3</v>
      </c>
      <c r="R33" s="9">
        <f>L33/E33</f>
        <v>-1.9831934478178862E-4</v>
      </c>
      <c r="S33" s="1" t="s">
        <v>40</v>
      </c>
      <c r="U33" s="6">
        <f>C33-$B33</f>
        <v>3.0679064949978851E-4</v>
      </c>
      <c r="V33" s="6">
        <f>D33-$B33</f>
        <v>-2.4522018858899486E-2</v>
      </c>
      <c r="W33" s="6">
        <f>E33-$B33</f>
        <v>6.542030038439961E-2</v>
      </c>
      <c r="X33" s="6">
        <f>F33-$B33</f>
        <v>6.1161432762602885E-2</v>
      </c>
      <c r="Y33" s="1" t="s">
        <v>40</v>
      </c>
      <c r="AA33" s="13">
        <f t="shared" si="1"/>
        <v>1.4329733056376946E-5</v>
      </c>
      <c r="AB33" s="13">
        <f t="shared" si="5"/>
        <v>-1.1453868780694799E-3</v>
      </c>
      <c r="AC33" s="13">
        <f t="shared" si="6"/>
        <v>3.0556845278854783E-3</v>
      </c>
      <c r="AD33" s="13">
        <f t="shared" si="7"/>
        <v>2.8567591817502593E-3</v>
      </c>
      <c r="AE33" s="1" t="s">
        <v>40</v>
      </c>
    </row>
    <row r="34" spans="1:31" x14ac:dyDescent="0.25">
      <c r="A34" s="2">
        <v>60</v>
      </c>
      <c r="B34" s="6">
        <v>17.256013761235799</v>
      </c>
      <c r="C34" s="7">
        <v>17.259235201086199</v>
      </c>
      <c r="D34" s="7">
        <v>17.233545284316701</v>
      </c>
      <c r="E34" s="7">
        <v>17.449605994779201</v>
      </c>
      <c r="F34" s="7">
        <v>17.4150331171179</v>
      </c>
      <c r="G34" s="1" t="s">
        <v>40</v>
      </c>
      <c r="I34" s="8">
        <f>C34-B34</f>
        <v>3.2214398503995767E-3</v>
      </c>
      <c r="J34" s="8">
        <f>D34-C34</f>
        <v>-2.5689916769497501E-2</v>
      </c>
      <c r="K34" s="8">
        <f>E34-D34</f>
        <v>0.21606071046250008</v>
      </c>
      <c r="L34" s="8">
        <f>F34-E34</f>
        <v>-3.4572877661300794E-2</v>
      </c>
      <c r="M34" s="1" t="s">
        <v>40</v>
      </c>
      <c r="O34" s="9">
        <f>I34/B34</f>
        <v>1.8668505339490825E-4</v>
      </c>
      <c r="P34" s="9">
        <f>J34/C34</f>
        <v>-1.4884736473074265E-3</v>
      </c>
      <c r="Q34" s="9">
        <f>K34/D34</f>
        <v>1.2537217786471657E-2</v>
      </c>
      <c r="R34" s="9">
        <f>L34/E34</f>
        <v>-1.9812984700998265E-3</v>
      </c>
      <c r="S34" s="1" t="s">
        <v>40</v>
      </c>
      <c r="U34" s="6">
        <f>C34-$B34</f>
        <v>3.2214398503995767E-3</v>
      </c>
      <c r="V34" s="6">
        <f>D34-$B34</f>
        <v>-2.2468476919097924E-2</v>
      </c>
      <c r="W34" s="6">
        <f>E34-$B34</f>
        <v>0.19359223354340216</v>
      </c>
      <c r="X34" s="6">
        <f>F34-$B34</f>
        <v>0.15901935588210137</v>
      </c>
      <c r="Y34" s="1" t="s">
        <v>40</v>
      </c>
      <c r="AA34" s="13">
        <f t="shared" si="1"/>
        <v>1.8668505339490825E-4</v>
      </c>
      <c r="AB34" s="13">
        <f t="shared" si="5"/>
        <v>-1.3020664696948429E-3</v>
      </c>
      <c r="AC34" s="13">
        <f t="shared" si="6"/>
        <v>1.1218827025873786E-2</v>
      </c>
      <c r="AD34" s="13">
        <f t="shared" si="7"/>
        <v>9.2153007109512814E-3</v>
      </c>
      <c r="AE34" s="1" t="s">
        <v>40</v>
      </c>
    </row>
    <row r="35" spans="1:31" x14ac:dyDescent="0.25">
      <c r="A35" s="2">
        <v>70</v>
      </c>
      <c r="B35" s="6">
        <v>12.432328734299199</v>
      </c>
      <c r="C35" s="7">
        <v>12.4428181215862</v>
      </c>
      <c r="D35" s="7">
        <v>12.4234585011784</v>
      </c>
      <c r="E35" s="7">
        <v>12.848319658036701</v>
      </c>
      <c r="F35" s="7">
        <v>12.7660414565874</v>
      </c>
      <c r="G35" s="1" t="s">
        <v>40</v>
      </c>
      <c r="I35" s="8">
        <f>C35-B35</f>
        <v>1.048938728700044E-2</v>
      </c>
      <c r="J35" s="8">
        <f>D35-C35</f>
        <v>-1.9359620407799483E-2</v>
      </c>
      <c r="K35" s="8">
        <f>E35-D35</f>
        <v>0.4248611568583005</v>
      </c>
      <c r="L35" s="8">
        <f>F35-E35</f>
        <v>-8.2278201449300425E-2</v>
      </c>
      <c r="M35" s="1" t="s">
        <v>40</v>
      </c>
      <c r="O35" s="9">
        <f>I35/B35</f>
        <v>8.4371862353201511E-4</v>
      </c>
      <c r="P35" s="9">
        <f>J35/C35</f>
        <v>-1.5558871164574682E-3</v>
      </c>
      <c r="Q35" s="9">
        <f>K35/D35</f>
        <v>3.4198299677823306E-2</v>
      </c>
      <c r="R35" s="9">
        <f>L35/E35</f>
        <v>-6.4038102755199526E-3</v>
      </c>
      <c r="S35" s="1" t="s">
        <v>40</v>
      </c>
      <c r="U35" s="6">
        <f>C35-$B35</f>
        <v>1.048938728700044E-2</v>
      </c>
      <c r="V35" s="6">
        <f>D35-$B35</f>
        <v>-8.8702331207990426E-3</v>
      </c>
      <c r="W35" s="6">
        <f>E35-$B35</f>
        <v>0.41599092373750146</v>
      </c>
      <c r="X35" s="6">
        <f>F35-$B35</f>
        <v>0.33371272228820104</v>
      </c>
      <c r="Y35" s="1" t="s">
        <v>40</v>
      </c>
      <c r="AA35" s="13">
        <f t="shared" si="1"/>
        <v>8.4371862353201511E-4</v>
      </c>
      <c r="AB35" s="13">
        <f t="shared" si="5"/>
        <v>-7.1348122386172177E-4</v>
      </c>
      <c r="AC35" s="13">
        <f t="shared" si="6"/>
        <v>3.3460418609253459E-2</v>
      </c>
      <c r="AD35" s="13">
        <f t="shared" si="7"/>
        <v>2.6842334161220373E-2</v>
      </c>
      <c r="AE35" s="1" t="s">
        <v>40</v>
      </c>
    </row>
    <row r="36" spans="1:31" x14ac:dyDescent="0.25">
      <c r="A36" s="2">
        <v>80</v>
      </c>
      <c r="B36" s="6">
        <v>7.4794286383886401</v>
      </c>
      <c r="C36" s="7">
        <v>7.4947136646989101</v>
      </c>
      <c r="D36" s="7">
        <v>7.4837493603128404</v>
      </c>
      <c r="E36" s="7">
        <v>7.9728831677380603</v>
      </c>
      <c r="F36" s="7">
        <v>7.8528127666521099</v>
      </c>
      <c r="G36" s="1" t="s">
        <v>40</v>
      </c>
      <c r="I36" s="8">
        <f>C36-B36</f>
        <v>1.5285026310269956E-2</v>
      </c>
      <c r="J36" s="8">
        <f>D36-C36</f>
        <v>-1.0964304386069657E-2</v>
      </c>
      <c r="K36" s="8">
        <f>E36-D36</f>
        <v>0.48913380742521984</v>
      </c>
      <c r="L36" s="8">
        <f>F36-E36</f>
        <v>-0.12007040108595035</v>
      </c>
      <c r="M36" s="1" t="s">
        <v>40</v>
      </c>
      <c r="O36" s="9">
        <f>I36/B36</f>
        <v>2.0436088168310869E-3</v>
      </c>
      <c r="P36" s="9">
        <f>J36/C36</f>
        <v>-1.4629383958606687E-3</v>
      </c>
      <c r="Q36" s="9">
        <f>K36/D36</f>
        <v>6.5359458725214814E-2</v>
      </c>
      <c r="R36" s="9">
        <f>L36/E36</f>
        <v>-1.5059847054050689E-2</v>
      </c>
      <c r="S36" s="1" t="s">
        <v>40</v>
      </c>
      <c r="U36" s="6">
        <f>C36-$B36</f>
        <v>1.5285026310269956E-2</v>
      </c>
      <c r="V36" s="6">
        <f>D36-$B36</f>
        <v>4.3207219242002992E-3</v>
      </c>
      <c r="W36" s="6">
        <f>E36-$B36</f>
        <v>0.49345452934942013</v>
      </c>
      <c r="X36" s="6">
        <f>F36-$B36</f>
        <v>0.37338412826346978</v>
      </c>
      <c r="Y36" s="1" t="s">
        <v>40</v>
      </c>
      <c r="AA36" s="13">
        <f t="shared" si="1"/>
        <v>2.0436088168310869E-3</v>
      </c>
      <c r="AB36" s="13">
        <f t="shared" si="5"/>
        <v>5.7768074716615665E-4</v>
      </c>
      <c r="AC36" s="13">
        <f t="shared" si="6"/>
        <v>6.5974896373331718E-2</v>
      </c>
      <c r="AD36" s="13">
        <f t="shared" si="7"/>
        <v>4.9921477470491818E-2</v>
      </c>
      <c r="AE36" s="1" t="s">
        <v>40</v>
      </c>
    </row>
    <row r="37" spans="1:31" x14ac:dyDescent="0.25">
      <c r="A37" s="2">
        <v>90</v>
      </c>
      <c r="B37" s="6">
        <v>3.6942131232992899</v>
      </c>
      <c r="C37" s="7">
        <v>3.7432631788838799</v>
      </c>
      <c r="D37" s="7">
        <v>3.7399911838481801</v>
      </c>
      <c r="E37" s="7">
        <v>3.9476577331383602</v>
      </c>
      <c r="F37" s="7">
        <v>3.8144456084649399</v>
      </c>
      <c r="G37" s="1" t="s">
        <v>40</v>
      </c>
      <c r="I37" s="8">
        <f>C37-B37</f>
        <v>4.905005558459008E-2</v>
      </c>
      <c r="J37" s="8">
        <f>D37-C37</f>
        <v>-3.2719950356998595E-3</v>
      </c>
      <c r="K37" s="8">
        <f>E37-D37</f>
        <v>0.20766654929018014</v>
      </c>
      <c r="L37" s="8">
        <f>F37-E37</f>
        <v>-0.13321212467342036</v>
      </c>
      <c r="M37" s="1" t="s">
        <v>40</v>
      </c>
      <c r="O37" s="9">
        <f>I37/B37</f>
        <v>1.3277538124487965E-2</v>
      </c>
      <c r="P37" s="9">
        <f>J37/C37</f>
        <v>-8.741023217810356E-4</v>
      </c>
      <c r="Q37" s="9">
        <f>K37/D37</f>
        <v>5.5525946207313326E-2</v>
      </c>
      <c r="R37" s="9">
        <f>L37/E37</f>
        <v>-3.3744598361499199E-2</v>
      </c>
      <c r="S37" s="1" t="s">
        <v>40</v>
      </c>
      <c r="U37" s="6">
        <f>C37-$B37</f>
        <v>4.905005558459008E-2</v>
      </c>
      <c r="V37" s="6">
        <f>D37-$B37</f>
        <v>4.577806054889022E-2</v>
      </c>
      <c r="W37" s="6">
        <f>E37-$B37</f>
        <v>0.25344460983907036</v>
      </c>
      <c r="X37" s="6">
        <f>F37-$B37</f>
        <v>0.12023248516564999</v>
      </c>
      <c r="Y37" s="1" t="s">
        <v>40</v>
      </c>
      <c r="AA37" s="13">
        <f t="shared" si="1"/>
        <v>1.3277538124487965E-2</v>
      </c>
      <c r="AB37" s="13">
        <f t="shared" si="5"/>
        <v>1.2391829875804778E-2</v>
      </c>
      <c r="AC37" s="13">
        <f t="shared" si="6"/>
        <v>6.8605844162212215E-2</v>
      </c>
      <c r="AD37" s="13">
        <f t="shared" si="7"/>
        <v>3.2546169144207562E-2</v>
      </c>
      <c r="AE37" s="1" t="s">
        <v>40</v>
      </c>
    </row>
    <row r="38" spans="1:31" x14ac:dyDescent="0.25">
      <c r="B38" s="3"/>
      <c r="C38" s="3"/>
      <c r="D38" s="3"/>
      <c r="E38" s="3"/>
      <c r="F38" s="3"/>
      <c r="G38" s="1" t="s">
        <v>40</v>
      </c>
      <c r="I38" s="3"/>
      <c r="J38" s="3"/>
      <c r="K38" s="3"/>
      <c r="L38" s="3"/>
      <c r="M38" s="1" t="s">
        <v>40</v>
      </c>
      <c r="S38" s="1" t="s">
        <v>40</v>
      </c>
      <c r="U38" s="3"/>
      <c r="V38" s="3"/>
      <c r="W38" s="3"/>
      <c r="X38" s="3"/>
      <c r="Y38" s="1" t="s">
        <v>40</v>
      </c>
      <c r="AA38" s="12"/>
      <c r="AB38" s="12"/>
      <c r="AC38" s="12"/>
      <c r="AD38" s="12"/>
      <c r="AE38" s="1" t="s">
        <v>40</v>
      </c>
    </row>
    <row r="39" spans="1:31" x14ac:dyDescent="0.25">
      <c r="A39" s="5" t="s">
        <v>22</v>
      </c>
      <c r="B39" s="3"/>
      <c r="C39" s="3"/>
      <c r="D39" s="3"/>
      <c r="E39" s="3"/>
      <c r="F39" s="3"/>
      <c r="G39" s="1" t="s">
        <v>40</v>
      </c>
      <c r="I39" s="3"/>
      <c r="J39" s="3"/>
      <c r="K39" s="3"/>
      <c r="L39" s="3"/>
      <c r="M39" s="1" t="s">
        <v>40</v>
      </c>
      <c r="S39" s="1" t="s">
        <v>40</v>
      </c>
      <c r="U39" s="3"/>
      <c r="V39" s="3"/>
      <c r="W39" s="3"/>
      <c r="X39" s="3"/>
      <c r="Y39" s="1" t="s">
        <v>40</v>
      </c>
      <c r="AA39" s="12"/>
      <c r="AB39" s="12"/>
      <c r="AC39" s="12"/>
      <c r="AD39" s="12"/>
      <c r="AE39" s="1" t="s">
        <v>40</v>
      </c>
    </row>
    <row r="40" spans="1:31" x14ac:dyDescent="0.25">
      <c r="A40" s="1" t="s">
        <v>2</v>
      </c>
      <c r="B40" s="3"/>
      <c r="C40" s="3"/>
      <c r="D40" s="3"/>
      <c r="E40" s="3"/>
      <c r="F40" s="3"/>
      <c r="G40" s="1" t="s">
        <v>40</v>
      </c>
      <c r="I40" s="3"/>
      <c r="J40" s="3"/>
      <c r="K40" s="3"/>
      <c r="L40" s="3"/>
      <c r="M40" s="1" t="s">
        <v>40</v>
      </c>
      <c r="S40" s="1" t="s">
        <v>40</v>
      </c>
      <c r="U40" s="3"/>
      <c r="V40" s="3"/>
      <c r="W40" s="3"/>
      <c r="X40" s="3"/>
      <c r="Y40" s="1" t="s">
        <v>40</v>
      </c>
      <c r="AA40" s="12"/>
      <c r="AB40" s="12"/>
      <c r="AC40" s="12"/>
      <c r="AD40" s="12"/>
      <c r="AE40" s="1" t="s">
        <v>40</v>
      </c>
    </row>
    <row r="41" spans="1:31" x14ac:dyDescent="0.25">
      <c r="A41" s="2" t="s">
        <v>20</v>
      </c>
      <c r="B41" s="3" t="str" cm="1">
        <f t="array" ref="B41:F41">_xlfn.ANCHORARRAY(B10)</f>
        <v>0. AG2024</v>
      </c>
      <c r="C41" s="3" t="str">
        <v>1. AG2024 PreCovid</v>
      </c>
      <c r="D41" s="3" t="str">
        <v>2. Update PreCovid HMD-sterftedate</v>
      </c>
      <c r="E41" s="3" t="str">
        <v>3. Modelwijziging startpunt prognose</v>
      </c>
      <c r="F41" s="3" t="str">
        <v>4. Vernieuwde oversterfteparameters obv 2022/2023</v>
      </c>
      <c r="G41" s="1" t="s">
        <v>40</v>
      </c>
      <c r="H41" s="1" t="str" cm="1">
        <f t="array" ref="H41:L41">_xlfn.ANCHORARRAY(B10)</f>
        <v>0. AG2024</v>
      </c>
      <c r="I41" s="3" t="str">
        <v>1. AG2024 PreCovid</v>
      </c>
      <c r="J41" s="3" t="str">
        <v>2. Update PreCovid HMD-sterftedate</v>
      </c>
      <c r="K41" s="3" t="str">
        <v>3. Modelwijziging startpunt prognose</v>
      </c>
      <c r="L41" s="3" t="str">
        <v>4. Vernieuwde oversterfteparameters obv 2022/2023</v>
      </c>
      <c r="M41" s="1" t="s">
        <v>40</v>
      </c>
      <c r="N41" s="4" t="str" cm="1">
        <f t="array" ref="N41:R41">_xlfn.ANCHORARRAY(B10)</f>
        <v>0. AG2024</v>
      </c>
      <c r="O41" s="4" t="str">
        <v>1. AG2024 PreCovid</v>
      </c>
      <c r="P41" s="4" t="str">
        <v>2. Update PreCovid HMD-sterftedate</v>
      </c>
      <c r="Q41" s="4" t="str">
        <v>3. Modelwijziging startpunt prognose</v>
      </c>
      <c r="R41" s="1" t="str">
        <v>4. Vernieuwde oversterfteparameters obv 2022/2023</v>
      </c>
      <c r="S41" s="1" t="s">
        <v>40</v>
      </c>
      <c r="T41" s="1" t="str" cm="1">
        <f t="array" ref="T41:X41">_xlfn.ANCHORARRAY($B$10)</f>
        <v>0. AG2024</v>
      </c>
      <c r="U41" s="3" t="str">
        <v>1. AG2024 PreCovid</v>
      </c>
      <c r="V41" s="3" t="str">
        <v>2. Update PreCovid HMD-sterftedate</v>
      </c>
      <c r="W41" s="3" t="str">
        <v>3. Modelwijziging startpunt prognose</v>
      </c>
      <c r="X41" s="3" t="str">
        <v>4. Vernieuwde oversterfteparameters obv 2022/2023</v>
      </c>
      <c r="Y41" s="1" t="s">
        <v>40</v>
      </c>
      <c r="Z41" s="1" t="str" cm="1">
        <f t="array" ref="Z41:AD41">_xlfn.ANCHORARRAY($B$10)</f>
        <v>0. AG2024</v>
      </c>
      <c r="AA41" s="12" t="str">
        <v>1. AG2024 PreCovid</v>
      </c>
      <c r="AB41" s="12" t="str">
        <v>2. Update PreCovid HMD-sterftedate</v>
      </c>
      <c r="AC41" s="12" t="str">
        <v>3. Modelwijziging startpunt prognose</v>
      </c>
      <c r="AD41" s="12" t="str">
        <v>4. Vernieuwde oversterfteparameters obv 2022/2023</v>
      </c>
      <c r="AE41" s="1" t="s">
        <v>40</v>
      </c>
    </row>
    <row r="42" spans="1:31" x14ac:dyDescent="0.25">
      <c r="A42" s="2">
        <v>30</v>
      </c>
      <c r="B42" s="6">
        <v>6.1688486811282797</v>
      </c>
      <c r="C42" s="7">
        <v>6.1688488970905997</v>
      </c>
      <c r="D42" s="7">
        <v>6.1540266388567897</v>
      </c>
      <c r="E42" s="7">
        <v>6.1554268058206603</v>
      </c>
      <c r="F42" s="7">
        <v>6.1554276106919996</v>
      </c>
      <c r="G42" s="1" t="s">
        <v>40</v>
      </c>
      <c r="I42" s="10">
        <f>C42-B42</f>
        <v>2.1596232002707438E-7</v>
      </c>
      <c r="J42" s="10">
        <f>D42-C42</f>
        <v>-1.4822258233810004E-2</v>
      </c>
      <c r="K42" s="10">
        <f>E42-D42</f>
        <v>1.4001669638705749E-3</v>
      </c>
      <c r="L42" s="10">
        <f>F42-E42</f>
        <v>8.0487133935491784E-7</v>
      </c>
      <c r="M42" s="1" t="s">
        <v>40</v>
      </c>
      <c r="O42" s="9">
        <f>I42/B42</f>
        <v>3.5008529336721383E-8</v>
      </c>
      <c r="P42" s="9">
        <f>J42/C42</f>
        <v>-2.4027591664306435E-3</v>
      </c>
      <c r="Q42" s="9">
        <f>K42/D42</f>
        <v>2.2752045872370138E-4</v>
      </c>
      <c r="R42" s="9">
        <f>L42/E42</f>
        <v>1.3075800667369155E-7</v>
      </c>
      <c r="S42" s="1" t="s">
        <v>40</v>
      </c>
      <c r="U42" s="6">
        <f>C42-$B42</f>
        <v>2.1596232002707438E-7</v>
      </c>
      <c r="V42" s="6">
        <f>D42-$B42</f>
        <v>-1.4822042271489977E-2</v>
      </c>
      <c r="W42" s="6">
        <f>E42-$B42</f>
        <v>-1.3421875307619402E-2</v>
      </c>
      <c r="X42" s="6">
        <f>F42-$B42</f>
        <v>-1.3421070436280047E-2</v>
      </c>
      <c r="Y42" s="1" t="s">
        <v>40</v>
      </c>
      <c r="AA42" s="13">
        <f t="shared" si="1"/>
        <v>3.5008529336721383E-8</v>
      </c>
      <c r="AB42" s="13">
        <f t="shared" ref="AB42:AB48" si="8">V42/$B42</f>
        <v>-2.4027242420183717E-3</v>
      </c>
      <c r="AC42" s="13">
        <f t="shared" ref="AC42:AC48" si="9">W42/$B42</f>
        <v>-2.1757504522164008E-3</v>
      </c>
      <c r="AD42" s="13">
        <f t="shared" ref="AD42:AD48" si="10">X42/$B42</f>
        <v>-2.1756199787065192E-3</v>
      </c>
      <c r="AE42" s="1" t="s">
        <v>40</v>
      </c>
    </row>
    <row r="43" spans="1:31" x14ac:dyDescent="0.25">
      <c r="A43" s="2">
        <v>40</v>
      </c>
      <c r="B43" s="6">
        <v>8.0518998149709393</v>
      </c>
      <c r="C43" s="7">
        <v>8.0519033998131508</v>
      </c>
      <c r="D43" s="7">
        <v>8.0328992758823894</v>
      </c>
      <c r="E43" s="7">
        <v>8.0401024547757398</v>
      </c>
      <c r="F43" s="7">
        <v>8.0401015286328992</v>
      </c>
      <c r="G43" s="1" t="s">
        <v>40</v>
      </c>
      <c r="I43" s="10">
        <f>C43-B43</f>
        <v>3.5848422115236644E-6</v>
      </c>
      <c r="J43" s="10">
        <f>D43-C43</f>
        <v>-1.9004123930761452E-2</v>
      </c>
      <c r="K43" s="10">
        <f>E43-D43</f>
        <v>7.2031788933504259E-3</v>
      </c>
      <c r="L43" s="10">
        <f>F43-E43</f>
        <v>-9.261428406404093E-7</v>
      </c>
      <c r="M43" s="1" t="s">
        <v>40</v>
      </c>
      <c r="O43" s="9">
        <f>I43/B43</f>
        <v>4.4521694182761051E-7</v>
      </c>
      <c r="P43" s="9">
        <f>J43/C43</f>
        <v>-2.3602026734700337E-3</v>
      </c>
      <c r="Q43" s="9">
        <f>K43/D43</f>
        <v>8.9670972409388E-4</v>
      </c>
      <c r="R43" s="9">
        <f>L43/E43</f>
        <v>-1.1519042771529481E-7</v>
      </c>
      <c r="S43" s="1" t="s">
        <v>40</v>
      </c>
      <c r="U43" s="6">
        <f>C43-$B43</f>
        <v>3.5848422115236644E-6</v>
      </c>
      <c r="V43" s="6">
        <f>D43-$B43</f>
        <v>-1.9000539088549928E-2</v>
      </c>
      <c r="W43" s="6">
        <f>E43-$B43</f>
        <v>-1.1797360195199502E-2</v>
      </c>
      <c r="X43" s="6">
        <f>F43-$B43</f>
        <v>-1.1798286338040143E-2</v>
      </c>
      <c r="Y43" s="1" t="s">
        <v>40</v>
      </c>
      <c r="AA43" s="13">
        <f t="shared" si="1"/>
        <v>4.4521694182761051E-7</v>
      </c>
      <c r="AB43" s="13">
        <f t="shared" si="8"/>
        <v>-2.3597585073304225E-3</v>
      </c>
      <c r="AC43" s="13">
        <f t="shared" si="9"/>
        <v>-1.4651648016365789E-3</v>
      </c>
      <c r="AD43" s="13">
        <f t="shared" si="10"/>
        <v>-1.4652798232913339E-3</v>
      </c>
      <c r="AE43" s="1" t="s">
        <v>40</v>
      </c>
    </row>
    <row r="44" spans="1:31" x14ac:dyDescent="0.25">
      <c r="A44" s="2">
        <v>50</v>
      </c>
      <c r="B44" s="6">
        <v>10.5571014602811</v>
      </c>
      <c r="C44" s="7">
        <v>10.557196731507901</v>
      </c>
      <c r="D44" s="7">
        <v>10.5342367764255</v>
      </c>
      <c r="E44" s="7">
        <v>10.5384004171974</v>
      </c>
      <c r="F44" s="7">
        <v>10.538342401779699</v>
      </c>
      <c r="G44" s="1" t="s">
        <v>40</v>
      </c>
      <c r="I44" s="10">
        <f>C44-B44</f>
        <v>9.5271226800974773E-5</v>
      </c>
      <c r="J44" s="10">
        <f>D44-C44</f>
        <v>-2.2959955082400896E-2</v>
      </c>
      <c r="K44" s="10">
        <f>E44-D44</f>
        <v>4.1636407718996793E-3</v>
      </c>
      <c r="L44" s="10">
        <f>F44-E44</f>
        <v>-5.8015417700119087E-5</v>
      </c>
      <c r="M44" s="1" t="s">
        <v>40</v>
      </c>
      <c r="O44" s="9">
        <f>I44/B44</f>
        <v>9.0243735138298105E-6</v>
      </c>
      <c r="P44" s="9">
        <f>J44/C44</f>
        <v>-2.1748154994475971E-3</v>
      </c>
      <c r="Q44" s="9">
        <f>K44/D44</f>
        <v>3.952484513370218E-4</v>
      </c>
      <c r="R44" s="9">
        <f>L44/E44</f>
        <v>-5.5051445573699135E-6</v>
      </c>
      <c r="S44" s="1" t="s">
        <v>40</v>
      </c>
      <c r="U44" s="6">
        <f>C44-$B44</f>
        <v>9.5271226800974773E-5</v>
      </c>
      <c r="V44" s="6">
        <f>D44-$B44</f>
        <v>-2.2864683855599921E-2</v>
      </c>
      <c r="W44" s="6">
        <f>E44-$B44</f>
        <v>-1.8701043083700242E-2</v>
      </c>
      <c r="X44" s="6">
        <f>F44-$B44</f>
        <v>-1.8759058501400361E-2</v>
      </c>
      <c r="Y44" s="1" t="s">
        <v>40</v>
      </c>
      <c r="AA44" s="13">
        <f t="shared" si="1"/>
        <v>9.0243735138298105E-6</v>
      </c>
      <c r="AB44" s="13">
        <f t="shared" si="8"/>
        <v>-2.1658107522811582E-3</v>
      </c>
      <c r="AC44" s="13">
        <f t="shared" si="9"/>
        <v>-1.7714183342898645E-3</v>
      </c>
      <c r="AD44" s="13">
        <f t="shared" si="10"/>
        <v>-1.7769137269332325E-3</v>
      </c>
      <c r="AE44" s="1" t="s">
        <v>40</v>
      </c>
    </row>
    <row r="45" spans="1:31" x14ac:dyDescent="0.25">
      <c r="A45" s="2">
        <v>60</v>
      </c>
      <c r="B45" s="6">
        <v>14.0693081922134</v>
      </c>
      <c r="C45" s="7">
        <v>14.075116677404299</v>
      </c>
      <c r="D45" s="7">
        <v>14.049584461074</v>
      </c>
      <c r="E45" s="7">
        <v>14.0329999046689</v>
      </c>
      <c r="F45" s="7">
        <v>14.029383719563</v>
      </c>
      <c r="G45" s="1" t="s">
        <v>40</v>
      </c>
      <c r="I45" s="10">
        <f>C45-B45</f>
        <v>5.8084851908990487E-3</v>
      </c>
      <c r="J45" s="10">
        <f>D45-C45</f>
        <v>-2.5532216330299562E-2</v>
      </c>
      <c r="K45" s="10">
        <f>E45-D45</f>
        <v>-1.6584556405099704E-2</v>
      </c>
      <c r="L45" s="10">
        <f>F45-E45</f>
        <v>-3.6161851058995609E-3</v>
      </c>
      <c r="M45" s="1" t="s">
        <v>40</v>
      </c>
      <c r="O45" s="9">
        <f>I45/B45</f>
        <v>4.128479603647982E-4</v>
      </c>
      <c r="P45" s="9">
        <f>J45/C45</f>
        <v>-1.8139967799548043E-3</v>
      </c>
      <c r="Q45" s="9">
        <f>K45/D45</f>
        <v>-1.1804303857561864E-3</v>
      </c>
      <c r="R45" s="9">
        <f>L45/E45</f>
        <v>-2.5769152215959361E-4</v>
      </c>
      <c r="S45" s="1" t="s">
        <v>40</v>
      </c>
      <c r="U45" s="6">
        <f>C45-$B45</f>
        <v>5.8084851908990487E-3</v>
      </c>
      <c r="V45" s="6">
        <f>D45-$B45</f>
        <v>-1.9723731139400513E-2</v>
      </c>
      <c r="W45" s="6">
        <f>E45-$B45</f>
        <v>-3.6308287544500217E-2</v>
      </c>
      <c r="X45" s="6">
        <f>F45-$B45</f>
        <v>-3.9924472650399778E-2</v>
      </c>
      <c r="Y45" s="1" t="s">
        <v>40</v>
      </c>
      <c r="AA45" s="13">
        <f t="shared" si="1"/>
        <v>4.128479603647982E-4</v>
      </c>
      <c r="AB45" s="13">
        <f t="shared" si="8"/>
        <v>-1.4018977244607187E-3</v>
      </c>
      <c r="AC45" s="13">
        <f t="shared" si="9"/>
        <v>-2.5806732675452294E-3</v>
      </c>
      <c r="AD45" s="13">
        <f t="shared" si="10"/>
        <v>-2.8376997720823125E-3</v>
      </c>
      <c r="AE45" s="1" t="s">
        <v>40</v>
      </c>
    </row>
    <row r="46" spans="1:31" x14ac:dyDescent="0.25">
      <c r="A46" s="2">
        <v>70</v>
      </c>
      <c r="B46" s="6">
        <v>14.002900680818501</v>
      </c>
      <c r="C46" s="7">
        <v>14.0270593284187</v>
      </c>
      <c r="D46" s="7">
        <v>14.002775173416101</v>
      </c>
      <c r="E46" s="7">
        <v>13.993200490340101</v>
      </c>
      <c r="F46" s="7">
        <v>13.9719624362023</v>
      </c>
      <c r="G46" s="1" t="s">
        <v>40</v>
      </c>
      <c r="I46" s="10">
        <f>C46-B46</f>
        <v>2.4158647600199146E-2</v>
      </c>
      <c r="J46" s="10">
        <f>D46-C46</f>
        <v>-2.4284155002598951E-2</v>
      </c>
      <c r="K46" s="10">
        <f>E46-D46</f>
        <v>-9.5746830759999568E-3</v>
      </c>
      <c r="L46" s="10">
        <f>F46-E46</f>
        <v>-2.1238054137800333E-2</v>
      </c>
      <c r="M46" s="1" t="s">
        <v>40</v>
      </c>
      <c r="O46" s="9">
        <f>I46/B46</f>
        <v>1.7252602264966588E-3</v>
      </c>
      <c r="P46" s="9">
        <f>J46/C46</f>
        <v>-1.7312363506868089E-3</v>
      </c>
      <c r="Q46" s="9">
        <f>K46/D46</f>
        <v>-6.8377039247028977E-4</v>
      </c>
      <c r="R46" s="9">
        <f>L46/E46</f>
        <v>-1.5177410023147712E-3</v>
      </c>
      <c r="S46" s="1" t="s">
        <v>40</v>
      </c>
      <c r="U46" s="6">
        <f>C46-$B46</f>
        <v>2.4158647600199146E-2</v>
      </c>
      <c r="V46" s="6">
        <f>D46-$B46</f>
        <v>-1.2550740239980485E-4</v>
      </c>
      <c r="W46" s="6">
        <f>E46-$B46</f>
        <v>-9.7001904783997617E-3</v>
      </c>
      <c r="X46" s="6">
        <f>F46-$B46</f>
        <v>-3.0938244616200095E-2</v>
      </c>
      <c r="Y46" s="1" t="s">
        <v>40</v>
      </c>
      <c r="AA46" s="13">
        <f t="shared" si="1"/>
        <v>1.7252602264966588E-3</v>
      </c>
      <c r="AB46" s="13">
        <f t="shared" si="8"/>
        <v>-8.9629574086551801E-6</v>
      </c>
      <c r="AC46" s="13">
        <f t="shared" si="9"/>
        <v>-6.9272722127403997E-4</v>
      </c>
      <c r="AD46" s="13">
        <f t="shared" si="10"/>
        <v>-2.209416843081664E-3</v>
      </c>
      <c r="AE46" s="1" t="s">
        <v>40</v>
      </c>
    </row>
    <row r="47" spans="1:31" x14ac:dyDescent="0.25">
      <c r="A47" s="2">
        <v>80</v>
      </c>
      <c r="B47" s="6">
        <v>8.7005448397007505</v>
      </c>
      <c r="C47" s="7">
        <v>8.7328074716313893</v>
      </c>
      <c r="D47" s="7">
        <v>8.7152092762458295</v>
      </c>
      <c r="E47" s="7">
        <v>8.7172023000969006</v>
      </c>
      <c r="F47" s="7">
        <v>8.68468444872234</v>
      </c>
      <c r="G47" s="1" t="s">
        <v>40</v>
      </c>
      <c r="I47" s="10">
        <f>C47-B47</f>
        <v>3.2262631930638719E-2</v>
      </c>
      <c r="J47" s="10">
        <f>D47-C47</f>
        <v>-1.7598195385559734E-2</v>
      </c>
      <c r="K47" s="10">
        <f>E47-D47</f>
        <v>1.9930238510710296E-3</v>
      </c>
      <c r="L47" s="10">
        <f>F47-E47</f>
        <v>-3.2517851374560536E-2</v>
      </c>
      <c r="M47" s="1" t="s">
        <v>40</v>
      </c>
      <c r="O47" s="9">
        <f>I47/B47</f>
        <v>3.7081162760547728E-3</v>
      </c>
      <c r="P47" s="9">
        <f>J47/C47</f>
        <v>-2.0151818808244251E-3</v>
      </c>
      <c r="Q47" s="9">
        <f>K47/D47</f>
        <v>2.2868341859594979E-4</v>
      </c>
      <c r="R47" s="9">
        <f>L47/E47</f>
        <v>-3.7303082176031485E-3</v>
      </c>
      <c r="S47" s="1" t="s">
        <v>40</v>
      </c>
      <c r="U47" s="6">
        <f>C47-$B47</f>
        <v>3.2262631930638719E-2</v>
      </c>
      <c r="V47" s="6">
        <f>D47-$B47</f>
        <v>1.4664436545078985E-2</v>
      </c>
      <c r="W47" s="6">
        <f>E47-$B47</f>
        <v>1.6657460396150015E-2</v>
      </c>
      <c r="X47" s="6">
        <f>F47-$B47</f>
        <v>-1.5860390978410521E-2</v>
      </c>
      <c r="Y47" s="1" t="s">
        <v>40</v>
      </c>
      <c r="AA47" s="13">
        <f t="shared" si="1"/>
        <v>3.7081162760547728E-3</v>
      </c>
      <c r="AB47" s="13">
        <f t="shared" si="8"/>
        <v>1.6854618664988523E-3</v>
      </c>
      <c r="AC47" s="13">
        <f t="shared" si="9"/>
        <v>1.9145307222763462E-3</v>
      </c>
      <c r="AD47" s="13">
        <f t="shared" si="10"/>
        <v>-1.8229192850129634E-3</v>
      </c>
      <c r="AE47" s="1" t="s">
        <v>40</v>
      </c>
    </row>
    <row r="48" spans="1:31" x14ac:dyDescent="0.25">
      <c r="A48" s="2">
        <v>90</v>
      </c>
      <c r="B48" s="6">
        <v>4.1866256185416697</v>
      </c>
      <c r="C48" s="7">
        <v>4.2347524880990397</v>
      </c>
      <c r="D48" s="7">
        <v>4.22851346781869</v>
      </c>
      <c r="E48" s="7">
        <v>4.2098048994869597</v>
      </c>
      <c r="F48" s="7">
        <v>4.1642619052820997</v>
      </c>
      <c r="G48" s="1" t="s">
        <v>40</v>
      </c>
      <c r="I48" s="10">
        <f>C48-B48</f>
        <v>4.812686955737E-2</v>
      </c>
      <c r="J48" s="10">
        <f>D48-C48</f>
        <v>-6.2390202803497274E-3</v>
      </c>
      <c r="K48" s="10">
        <f>E48-D48</f>
        <v>-1.8708568331730291E-2</v>
      </c>
      <c r="L48" s="10">
        <f>F48-E48</f>
        <v>-4.5542994204859966E-2</v>
      </c>
      <c r="M48" s="1" t="s">
        <v>40</v>
      </c>
      <c r="O48" s="9">
        <f>I48/B48</f>
        <v>1.1495384097452226E-2</v>
      </c>
      <c r="P48" s="9">
        <f>J48/C48</f>
        <v>-1.4732904220219004E-3</v>
      </c>
      <c r="Q48" s="9">
        <f>K48/D48</f>
        <v>-4.4243842367093708E-3</v>
      </c>
      <c r="R48" s="9">
        <f>L48/E48</f>
        <v>-1.0818314694443488E-2</v>
      </c>
      <c r="S48" s="1" t="s">
        <v>40</v>
      </c>
      <c r="U48" s="6">
        <f>C48-$B48</f>
        <v>4.812686955737E-2</v>
      </c>
      <c r="V48" s="6">
        <f>D48-$B48</f>
        <v>4.1887849277020273E-2</v>
      </c>
      <c r="W48" s="6">
        <f>E48-$B48</f>
        <v>2.3179280945289982E-2</v>
      </c>
      <c r="X48" s="6">
        <f>F48-$B48</f>
        <v>-2.2363713259569984E-2</v>
      </c>
      <c r="Y48" s="1" t="s">
        <v>40</v>
      </c>
      <c r="AA48" s="13">
        <f t="shared" si="1"/>
        <v>1.1495384097452226E-2</v>
      </c>
      <c r="AB48" s="13">
        <f t="shared" si="8"/>
        <v>1.0005157636142086E-2</v>
      </c>
      <c r="AC48" s="13">
        <f t="shared" si="9"/>
        <v>5.5365067377015761E-3</v>
      </c>
      <c r="AD48" s="13">
        <f t="shared" si="10"/>
        <v>-5.3417036289382745E-3</v>
      </c>
      <c r="AE48" s="1" t="s">
        <v>40</v>
      </c>
    </row>
    <row r="49" spans="1:31" x14ac:dyDescent="0.25">
      <c r="B49" s="3"/>
      <c r="C49" s="3"/>
      <c r="D49" s="3"/>
      <c r="E49" s="3"/>
      <c r="F49" s="3"/>
      <c r="G49" s="1" t="s">
        <v>40</v>
      </c>
      <c r="I49" s="3"/>
      <c r="J49" s="3"/>
      <c r="K49" s="3"/>
      <c r="L49" s="3"/>
      <c r="M49" s="1" t="s">
        <v>40</v>
      </c>
      <c r="S49" s="1" t="s">
        <v>40</v>
      </c>
      <c r="U49" s="3"/>
      <c r="V49" s="3"/>
      <c r="W49" s="3"/>
      <c r="X49" s="3"/>
      <c r="Y49" s="1" t="s">
        <v>40</v>
      </c>
      <c r="AA49" s="12"/>
      <c r="AB49" s="12"/>
      <c r="AC49" s="12"/>
      <c r="AD49" s="12"/>
      <c r="AE49" s="1" t="s">
        <v>40</v>
      </c>
    </row>
    <row r="50" spans="1:31" x14ac:dyDescent="0.25">
      <c r="A50" t="s">
        <v>3</v>
      </c>
      <c r="B50" s="3"/>
      <c r="C50" s="3"/>
      <c r="D50" s="3"/>
      <c r="E50" s="3"/>
      <c r="F50" s="3"/>
      <c r="G50" s="1" t="s">
        <v>40</v>
      </c>
      <c r="I50" s="3"/>
      <c r="J50" s="3"/>
      <c r="K50" s="3"/>
      <c r="L50" s="3"/>
      <c r="M50" s="1" t="s">
        <v>40</v>
      </c>
      <c r="S50" s="1" t="s">
        <v>40</v>
      </c>
      <c r="U50" s="3"/>
      <c r="V50" s="3"/>
      <c r="W50" s="3"/>
      <c r="X50" s="3"/>
      <c r="Y50" s="1" t="s">
        <v>40</v>
      </c>
      <c r="AA50" s="12"/>
      <c r="AB50" s="12"/>
      <c r="AC50" s="12"/>
      <c r="AD50" s="12"/>
      <c r="AE50" s="1" t="s">
        <v>40</v>
      </c>
    </row>
    <row r="51" spans="1:31" x14ac:dyDescent="0.25">
      <c r="A51" s="2" t="s">
        <v>20</v>
      </c>
      <c r="B51" s="3" t="str" cm="1">
        <f t="array" ref="B51:F51">_xlfn.ANCHORARRAY(B10)</f>
        <v>0. AG2024</v>
      </c>
      <c r="C51" s="3" t="str">
        <v>1. AG2024 PreCovid</v>
      </c>
      <c r="D51" s="3" t="str">
        <v>2. Update PreCovid HMD-sterftedate</v>
      </c>
      <c r="E51" s="3" t="str">
        <v>3. Modelwijziging startpunt prognose</v>
      </c>
      <c r="F51" s="3" t="str">
        <v>4. Vernieuwde oversterfteparameters obv 2022/2023</v>
      </c>
      <c r="G51" s="1" t="s">
        <v>40</v>
      </c>
      <c r="H51" s="1" t="str" cm="1">
        <f t="array" ref="H51:L51">_xlfn.ANCHORARRAY(B10)</f>
        <v>0. AG2024</v>
      </c>
      <c r="I51" s="3" t="str">
        <v>1. AG2024 PreCovid</v>
      </c>
      <c r="J51" s="3" t="str">
        <v>2. Update PreCovid HMD-sterftedate</v>
      </c>
      <c r="K51" s="3" t="str">
        <v>3. Modelwijziging startpunt prognose</v>
      </c>
      <c r="L51" s="3" t="str">
        <v>4. Vernieuwde oversterfteparameters obv 2022/2023</v>
      </c>
      <c r="M51" s="1" t="s">
        <v>40</v>
      </c>
      <c r="N51" s="4" t="str" cm="1">
        <f t="array" ref="N51:R51">_xlfn.ANCHORARRAY(B10)</f>
        <v>0. AG2024</v>
      </c>
      <c r="O51" s="4" t="str">
        <v>1. AG2024 PreCovid</v>
      </c>
      <c r="P51" s="4" t="str">
        <v>2. Update PreCovid HMD-sterftedate</v>
      </c>
      <c r="Q51" s="4" t="str">
        <v>3. Modelwijziging startpunt prognose</v>
      </c>
      <c r="R51" s="1" t="str">
        <v>4. Vernieuwde oversterfteparameters obv 2022/2023</v>
      </c>
      <c r="S51" s="1" t="s">
        <v>40</v>
      </c>
      <c r="T51" s="1" t="str" cm="1">
        <f t="array" ref="T51:X51">_xlfn.ANCHORARRAY($B$10)</f>
        <v>0. AG2024</v>
      </c>
      <c r="U51" s="3" t="str">
        <v>1. AG2024 PreCovid</v>
      </c>
      <c r="V51" s="3" t="str">
        <v>2. Update PreCovid HMD-sterftedate</v>
      </c>
      <c r="W51" s="3" t="str">
        <v>3. Modelwijziging startpunt prognose</v>
      </c>
      <c r="X51" s="3" t="str">
        <v>4. Vernieuwde oversterfteparameters obv 2022/2023</v>
      </c>
      <c r="Y51" s="1" t="s">
        <v>40</v>
      </c>
      <c r="Z51" s="1" t="str" cm="1">
        <f t="array" ref="Z51:AD51">_xlfn.ANCHORARRAY($B$10)</f>
        <v>0. AG2024</v>
      </c>
      <c r="AA51" s="12" t="str">
        <v>1. AG2024 PreCovid</v>
      </c>
      <c r="AB51" s="12" t="str">
        <v>2. Update PreCovid HMD-sterftedate</v>
      </c>
      <c r="AC51" s="12" t="str">
        <v>3. Modelwijziging startpunt prognose</v>
      </c>
      <c r="AD51" s="12" t="str">
        <v>4. Vernieuwde oversterfteparameters obv 2022/2023</v>
      </c>
      <c r="AE51" s="1" t="s">
        <v>40</v>
      </c>
    </row>
    <row r="52" spans="1:31" x14ac:dyDescent="0.25">
      <c r="A52" s="2">
        <v>30</v>
      </c>
      <c r="B52" s="6">
        <v>0.87763606056722099</v>
      </c>
      <c r="C52" s="7">
        <v>0.87763578012886301</v>
      </c>
      <c r="D52" s="7">
        <v>0.87954958038423103</v>
      </c>
      <c r="E52" s="7">
        <v>0.87560203514153401</v>
      </c>
      <c r="F52" s="7">
        <v>0.87560142643727501</v>
      </c>
      <c r="G52" s="1" t="s">
        <v>40</v>
      </c>
      <c r="I52" s="8">
        <f>C52-B52</f>
        <v>-2.8043835798019501E-7</v>
      </c>
      <c r="J52" s="8">
        <f>D52-C52</f>
        <v>1.9138002553680256E-3</v>
      </c>
      <c r="K52" s="8">
        <f>E52-D52</f>
        <v>-3.9475452426970259E-3</v>
      </c>
      <c r="L52" s="8">
        <f>F52-E52</f>
        <v>-6.0870425899750558E-7</v>
      </c>
      <c r="M52" s="1" t="s">
        <v>40</v>
      </c>
      <c r="O52" s="9">
        <f>I52/B52</f>
        <v>-3.1953832639801303E-7</v>
      </c>
      <c r="P52" s="9">
        <f>J52/C52</f>
        <v>2.1806315315528986E-3</v>
      </c>
      <c r="Q52" s="9">
        <f>K52/D52</f>
        <v>-4.4881440804878121E-3</v>
      </c>
      <c r="R52" s="9">
        <f>L52/E52</f>
        <v>-6.9518369598023308E-7</v>
      </c>
      <c r="S52" s="1" t="s">
        <v>40</v>
      </c>
      <c r="U52" s="6">
        <f>C52-$B52</f>
        <v>-2.8043835798019501E-7</v>
      </c>
      <c r="V52" s="6">
        <f>D52-$B52</f>
        <v>1.9135198170100454E-3</v>
      </c>
      <c r="W52" s="6">
        <f>E52-$B52</f>
        <v>-2.0340254256869805E-3</v>
      </c>
      <c r="X52" s="6">
        <f>F52-$B52</f>
        <v>-2.034634129945978E-3</v>
      </c>
      <c r="Y52" s="1" t="s">
        <v>40</v>
      </c>
      <c r="AA52" s="13">
        <f t="shared" si="1"/>
        <v>-3.1953832639801303E-7</v>
      </c>
      <c r="AB52" s="13">
        <f t="shared" ref="AB52:AB58" si="11">V52/$B52</f>
        <v>2.1803112964311508E-3</v>
      </c>
      <c r="AC52" s="13">
        <f t="shared" ref="AC52:AC58" si="12">W52/$B52</f>
        <v>-2.3176183352953601E-3</v>
      </c>
      <c r="AD52" s="13">
        <f t="shared" ref="AD52:AD58" si="13">X52/$B52</f>
        <v>-2.3183119078208601E-3</v>
      </c>
      <c r="AE52" s="1" t="s">
        <v>40</v>
      </c>
    </row>
    <row r="53" spans="1:31" x14ac:dyDescent="0.25">
      <c r="A53" s="2">
        <v>40</v>
      </c>
      <c r="B53" s="6">
        <v>1.1873385818842099</v>
      </c>
      <c r="C53" s="7">
        <v>1.187338991933</v>
      </c>
      <c r="D53" s="7">
        <v>1.18929335797396</v>
      </c>
      <c r="E53" s="7">
        <v>1.1742935025288901</v>
      </c>
      <c r="F53" s="7">
        <v>1.1742809994930701</v>
      </c>
      <c r="G53" s="1" t="s">
        <v>40</v>
      </c>
      <c r="I53" s="8">
        <f>C53-B53</f>
        <v>4.1004879003381234E-7</v>
      </c>
      <c r="J53" s="8">
        <f>D53-C53</f>
        <v>1.9543660409599983E-3</v>
      </c>
      <c r="K53" s="8">
        <f>E53-D53</f>
        <v>-1.4999855445069876E-2</v>
      </c>
      <c r="L53" s="8">
        <f>F53-E53</f>
        <v>-1.2503035820010666E-5</v>
      </c>
      <c r="M53" s="1" t="s">
        <v>40</v>
      </c>
      <c r="O53" s="9">
        <f>I53/B53</f>
        <v>3.453511881868592E-7</v>
      </c>
      <c r="P53" s="9">
        <f>J53/C53</f>
        <v>1.6460051040505883E-3</v>
      </c>
      <c r="Q53" s="9">
        <f>K53/D53</f>
        <v>-1.2612410003384804E-2</v>
      </c>
      <c r="R53" s="9">
        <f>L53/E53</f>
        <v>-1.0647283488399498E-5</v>
      </c>
      <c r="S53" s="1" t="s">
        <v>40</v>
      </c>
      <c r="U53" s="6">
        <f>C53-$B53</f>
        <v>4.1004879003381234E-7</v>
      </c>
      <c r="V53" s="6">
        <f>D53-$B53</f>
        <v>1.9547760897500321E-3</v>
      </c>
      <c r="W53" s="6">
        <f>E53-$B53</f>
        <v>-1.3045079355319844E-2</v>
      </c>
      <c r="X53" s="6">
        <f>F53-$B53</f>
        <v>-1.3057582391139855E-2</v>
      </c>
      <c r="Y53" s="1" t="s">
        <v>40</v>
      </c>
      <c r="AA53" s="13">
        <f t="shared" si="1"/>
        <v>3.453511881868592E-7</v>
      </c>
      <c r="AB53" s="13">
        <f t="shared" si="11"/>
        <v>1.6463510236885937E-3</v>
      </c>
      <c r="AC53" s="13">
        <f t="shared" si="12"/>
        <v>-1.0986823433816462E-2</v>
      </c>
      <c r="AD53" s="13">
        <f t="shared" si="13"/>
        <v>-1.0997353737481124E-2</v>
      </c>
      <c r="AE53" s="1" t="s">
        <v>40</v>
      </c>
    </row>
    <row r="54" spans="1:31" x14ac:dyDescent="0.25">
      <c r="A54" s="2">
        <v>50</v>
      </c>
      <c r="B54" s="6">
        <v>1.46670854149706</v>
      </c>
      <c r="C54" s="7">
        <v>1.4667254385775299</v>
      </c>
      <c r="D54" s="7">
        <v>1.4678075510748001</v>
      </c>
      <c r="E54" s="7">
        <v>1.46209071933352</v>
      </c>
      <c r="F54" s="7">
        <v>1.4618473022166301</v>
      </c>
      <c r="G54" s="1" t="s">
        <v>40</v>
      </c>
      <c r="I54" s="8">
        <f>C54-B54</f>
        <v>1.6897080469924219E-5</v>
      </c>
      <c r="J54" s="8">
        <f>D54-C54</f>
        <v>1.0821124972701934E-3</v>
      </c>
      <c r="K54" s="8">
        <f>E54-D54</f>
        <v>-5.7168317412801262E-3</v>
      </c>
      <c r="L54" s="8">
        <f>F54-E54</f>
        <v>-2.4341711688991019E-4</v>
      </c>
      <c r="M54" s="1" t="s">
        <v>40</v>
      </c>
      <c r="O54" s="9">
        <f>I54/B54</f>
        <v>1.1520407764638419E-5</v>
      </c>
      <c r="P54" s="9">
        <f>J54/C54</f>
        <v>7.3777441149425725E-4</v>
      </c>
      <c r="Q54" s="9">
        <f>K54/D54</f>
        <v>-3.8948101453041197E-3</v>
      </c>
      <c r="R54" s="9">
        <f>L54/E54</f>
        <v>-1.6648564529625736E-4</v>
      </c>
      <c r="S54" s="1" t="s">
        <v>40</v>
      </c>
      <c r="U54" s="6">
        <f>C54-$B54</f>
        <v>1.6897080469924219E-5</v>
      </c>
      <c r="V54" s="6">
        <f>D54-$B54</f>
        <v>1.0990095777401176E-3</v>
      </c>
      <c r="W54" s="6">
        <f>E54-$B54</f>
        <v>-4.6178221635400085E-3</v>
      </c>
      <c r="X54" s="6">
        <f>F54-$B54</f>
        <v>-4.8612392804299187E-3</v>
      </c>
      <c r="Y54" s="1" t="s">
        <v>40</v>
      </c>
      <c r="AA54" s="13">
        <f t="shared" si="1"/>
        <v>1.1520407764638419E-5</v>
      </c>
      <c r="AB54" s="13">
        <f t="shared" si="11"/>
        <v>7.4930331872095435E-4</v>
      </c>
      <c r="AC54" s="13">
        <f t="shared" si="12"/>
        <v>-3.1484252207508298E-3</v>
      </c>
      <c r="AD54" s="13">
        <f t="shared" si="13"/>
        <v>-3.3143866984425433E-3</v>
      </c>
      <c r="AE54" s="1" t="s">
        <v>40</v>
      </c>
    </row>
    <row r="55" spans="1:31" x14ac:dyDescent="0.25">
      <c r="A55" s="2">
        <v>60</v>
      </c>
      <c r="B55" s="6">
        <v>1.5577843050431099</v>
      </c>
      <c r="C55" s="7">
        <v>1.5538914158647299</v>
      </c>
      <c r="D55" s="7">
        <v>1.5540074837837601</v>
      </c>
      <c r="E55" s="7">
        <v>1.59419396010877</v>
      </c>
      <c r="F55" s="7">
        <v>1.5939363385899901</v>
      </c>
      <c r="G55" s="1" t="s">
        <v>40</v>
      </c>
      <c r="I55" s="8">
        <f>C55-B55</f>
        <v>-3.8928891783800434E-3</v>
      </c>
      <c r="J55" s="8">
        <f>D55-C55</f>
        <v>1.1606791903018276E-4</v>
      </c>
      <c r="K55" s="8">
        <f>E55-D55</f>
        <v>4.0186476325009934E-2</v>
      </c>
      <c r="L55" s="8">
        <f>F55-E55</f>
        <v>-2.576215187799491E-4</v>
      </c>
      <c r="M55" s="1" t="s">
        <v>40</v>
      </c>
      <c r="O55" s="9">
        <f>I55/B55</f>
        <v>-2.4989911413135671E-3</v>
      </c>
      <c r="P55" s="9">
        <f>J55/C55</f>
        <v>7.4694999821201647E-5</v>
      </c>
      <c r="Q55" s="9">
        <f>K55/D55</f>
        <v>2.5859898838557896E-2</v>
      </c>
      <c r="R55" s="9">
        <f>L55/E55</f>
        <v>-1.6159985875393223E-4</v>
      </c>
      <c r="S55" s="1" t="s">
        <v>40</v>
      </c>
      <c r="U55" s="6">
        <f>C55-$B55</f>
        <v>-3.8928891783800434E-3</v>
      </c>
      <c r="V55" s="6">
        <f>D55-$B55</f>
        <v>-3.7768212593498607E-3</v>
      </c>
      <c r="W55" s="6">
        <f>E55-$B55</f>
        <v>3.6409655065660074E-2</v>
      </c>
      <c r="X55" s="6">
        <f>F55-$B55</f>
        <v>3.6152033546880125E-2</v>
      </c>
      <c r="Y55" s="1" t="s">
        <v>40</v>
      </c>
      <c r="AA55" s="13">
        <f t="shared" si="1"/>
        <v>-2.4989911413135671E-3</v>
      </c>
      <c r="AB55" s="13">
        <f t="shared" si="11"/>
        <v>-2.4244828036352191E-3</v>
      </c>
      <c r="AC55" s="13">
        <f t="shared" si="12"/>
        <v>2.3372719154884845E-2</v>
      </c>
      <c r="AD55" s="13">
        <f t="shared" si="13"/>
        <v>2.3207342268016788E-2</v>
      </c>
      <c r="AE55" s="1" t="s">
        <v>40</v>
      </c>
    </row>
    <row r="56" spans="1:31" x14ac:dyDescent="0.25">
      <c r="A56" s="2">
        <v>70</v>
      </c>
      <c r="B56" s="6">
        <v>1.4279789635951601</v>
      </c>
      <c r="C56" s="7">
        <v>1.4157163836970901</v>
      </c>
      <c r="D56" s="7">
        <v>1.4157532964391599</v>
      </c>
      <c r="E56" s="7">
        <v>1.52495435383734</v>
      </c>
      <c r="F56" s="7">
        <v>1.5202302726428401</v>
      </c>
      <c r="G56" s="1" t="s">
        <v>40</v>
      </c>
      <c r="I56" s="8">
        <f>C56-B56</f>
        <v>-1.2262579898070003E-2</v>
      </c>
      <c r="J56" s="8">
        <f>D56-C56</f>
        <v>3.6912742069850069E-5</v>
      </c>
      <c r="K56" s="8">
        <f>E56-D56</f>
        <v>0.10920105739818009</v>
      </c>
      <c r="L56" s="8">
        <f>F56-E56</f>
        <v>-4.7240811944999628E-3</v>
      </c>
      <c r="M56" s="1" t="s">
        <v>40</v>
      </c>
      <c r="O56" s="9">
        <f>I56/B56</f>
        <v>-8.5873673287154336E-3</v>
      </c>
      <c r="P56" s="9">
        <f>J56/C56</f>
        <v>2.6073543045008655E-5</v>
      </c>
      <c r="Q56" s="9">
        <f>K56/D56</f>
        <v>7.7132829337454314E-2</v>
      </c>
      <c r="R56" s="9">
        <f>L56/E56</f>
        <v>-3.0978508849215424E-3</v>
      </c>
      <c r="S56" s="1" t="s">
        <v>40</v>
      </c>
      <c r="U56" s="6">
        <f>C56-$B56</f>
        <v>-1.2262579898070003E-2</v>
      </c>
      <c r="V56" s="6">
        <f>D56-$B56</f>
        <v>-1.2225667156000153E-2</v>
      </c>
      <c r="W56" s="6">
        <f>E56-$B56</f>
        <v>9.6975390242179937E-2</v>
      </c>
      <c r="X56" s="6">
        <f>F56-$B56</f>
        <v>9.2251309047679975E-2</v>
      </c>
      <c r="Y56" s="1" t="s">
        <v>40</v>
      </c>
      <c r="AA56" s="13">
        <f t="shared" si="1"/>
        <v>-8.5873673287154336E-3</v>
      </c>
      <c r="AB56" s="13">
        <f t="shared" si="11"/>
        <v>-8.5615176887621127E-3</v>
      </c>
      <c r="AC56" s="13">
        <f t="shared" si="12"/>
        <v>6.7910937565935317E-2</v>
      </c>
      <c r="AD56" s="13">
        <f t="shared" si="13"/>
        <v>6.4602708722979296E-2</v>
      </c>
      <c r="AE56" s="1" t="s">
        <v>40</v>
      </c>
    </row>
    <row r="57" spans="1:31" x14ac:dyDescent="0.25">
      <c r="A57" s="2">
        <v>80</v>
      </c>
      <c r="B57" s="6">
        <v>1.21357551025374</v>
      </c>
      <c r="C57" s="7">
        <v>1.2062054090177701</v>
      </c>
      <c r="D57" s="7">
        <v>1.2065799834562401</v>
      </c>
      <c r="E57" s="7">
        <v>1.3422395147947399</v>
      </c>
      <c r="F57" s="7">
        <v>1.3210353695593</v>
      </c>
      <c r="G57" s="1" t="s">
        <v>40</v>
      </c>
      <c r="I57" s="8">
        <f>C57-B57</f>
        <v>-7.3701012359699281E-3</v>
      </c>
      <c r="J57" s="8">
        <f>D57-C57</f>
        <v>3.7457443846999894E-4</v>
      </c>
      <c r="K57" s="8">
        <f>E57-D57</f>
        <v>0.13565953133849984</v>
      </c>
      <c r="L57" s="8">
        <f>F57-E57</f>
        <v>-2.1204145235439897E-2</v>
      </c>
      <c r="M57" s="1" t="s">
        <v>40</v>
      </c>
      <c r="O57" s="9">
        <f>I57/B57</f>
        <v>-6.0730471023009956E-3</v>
      </c>
      <c r="P57" s="9">
        <f>J57/C57</f>
        <v>3.1053951148753356E-4</v>
      </c>
      <c r="Q57" s="9">
        <f>K57/D57</f>
        <v>0.11243310281835113</v>
      </c>
      <c r="R57" s="9">
        <f>L57/E57</f>
        <v>-1.5797586795589541E-2</v>
      </c>
      <c r="S57" s="1" t="s">
        <v>40</v>
      </c>
      <c r="U57" s="6">
        <f>C57-$B57</f>
        <v>-7.3701012359699281E-3</v>
      </c>
      <c r="V57" s="6">
        <f>D57-$B57</f>
        <v>-6.9955267974999291E-3</v>
      </c>
      <c r="W57" s="6">
        <f>E57-$B57</f>
        <v>0.12866400454099991</v>
      </c>
      <c r="X57" s="6">
        <f>F57-$B57</f>
        <v>0.10745985930556001</v>
      </c>
      <c r="Y57" s="1" t="s">
        <v>40</v>
      </c>
      <c r="AA57" s="13">
        <f t="shared" si="1"/>
        <v>-6.0730471023009956E-3</v>
      </c>
      <c r="AB57" s="13">
        <f t="shared" si="11"/>
        <v>-5.7643935118938516E-3</v>
      </c>
      <c r="AC57" s="13">
        <f t="shared" si="12"/>
        <v>0.10602060065804908</v>
      </c>
      <c r="AD57" s="13">
        <f t="shared" si="13"/>
        <v>8.854814422144347E-2</v>
      </c>
      <c r="AE57" s="1" t="s">
        <v>40</v>
      </c>
    </row>
    <row r="58" spans="1:31" x14ac:dyDescent="0.25">
      <c r="A58" s="2">
        <v>90</v>
      </c>
      <c r="B58" s="6">
        <v>0.89415645247509401</v>
      </c>
      <c r="C58" s="7">
        <v>0.90146583588561902</v>
      </c>
      <c r="D58" s="7">
        <v>0.90160558364808996</v>
      </c>
      <c r="E58" s="7">
        <v>0.96251890218469505</v>
      </c>
      <c r="F58" s="7">
        <v>0.91568567774530696</v>
      </c>
      <c r="G58" s="1" t="s">
        <v>40</v>
      </c>
      <c r="I58" s="8">
        <f>C58-B58</f>
        <v>7.3093834105250055E-3</v>
      </c>
      <c r="J58" s="8">
        <f>D58-C58</f>
        <v>1.3974776247094312E-4</v>
      </c>
      <c r="K58" s="8">
        <f>E58-D58</f>
        <v>6.0913318536605088E-2</v>
      </c>
      <c r="L58" s="8">
        <f>F58-E58</f>
        <v>-4.6833224439388088E-2</v>
      </c>
      <c r="M58" s="1" t="s">
        <v>40</v>
      </c>
      <c r="O58" s="9">
        <f>I58/B58</f>
        <v>8.1746135033662938E-3</v>
      </c>
      <c r="P58" s="9">
        <f>J58/C58</f>
        <v>1.5502280497812983E-4</v>
      </c>
      <c r="Q58" s="9">
        <f>K58/D58</f>
        <v>6.7560937555573589E-2</v>
      </c>
      <c r="R58" s="9">
        <f>L58/E58</f>
        <v>-4.8656939965633417E-2</v>
      </c>
      <c r="S58" s="1" t="s">
        <v>40</v>
      </c>
      <c r="U58" s="6">
        <f>C58-$B58</f>
        <v>7.3093834105250055E-3</v>
      </c>
      <c r="V58" s="6">
        <f>D58-$B58</f>
        <v>7.4491311729959486E-3</v>
      </c>
      <c r="W58" s="6">
        <f>E58-$B58</f>
        <v>6.8362449709601036E-2</v>
      </c>
      <c r="X58" s="6">
        <f>F58-$B58</f>
        <v>2.1529225270212948E-2</v>
      </c>
      <c r="Y58" s="1" t="s">
        <v>40</v>
      </c>
      <c r="AA58" s="13">
        <f t="shared" si="1"/>
        <v>8.1746135033662938E-3</v>
      </c>
      <c r="AB58" s="13">
        <f t="shared" si="11"/>
        <v>8.3309035598593279E-3</v>
      </c>
      <c r="AC58" s="13">
        <f t="shared" si="12"/>
        <v>7.6454684770622075E-2</v>
      </c>
      <c r="AD58" s="13">
        <f t="shared" si="13"/>
        <v>2.407769379801308E-2</v>
      </c>
      <c r="AE58" s="1" t="s">
        <v>40</v>
      </c>
    </row>
    <row r="59" spans="1:31" x14ac:dyDescent="0.25">
      <c r="B59" s="3"/>
      <c r="C59" s="3"/>
      <c r="D59" s="3"/>
      <c r="E59" s="3"/>
      <c r="F59" s="3"/>
      <c r="G59" s="1" t="s">
        <v>40</v>
      </c>
      <c r="I59" s="3"/>
      <c r="J59" s="3"/>
      <c r="K59" s="3"/>
      <c r="L59" s="3"/>
      <c r="M59" s="1" t="s">
        <v>40</v>
      </c>
      <c r="S59" s="1" t="s">
        <v>40</v>
      </c>
      <c r="U59" s="3"/>
      <c r="V59" s="3"/>
      <c r="W59" s="3"/>
      <c r="X59" s="3"/>
      <c r="AA59" s="12"/>
      <c r="AB59" s="12"/>
      <c r="AC59" s="12"/>
      <c r="AD59" s="12"/>
      <c r="AE59" s="1" t="s">
        <v>40</v>
      </c>
    </row>
    <row r="60" spans="1:31" x14ac:dyDescent="0.25">
      <c r="A60" t="s">
        <v>4</v>
      </c>
      <c r="B60" s="3"/>
      <c r="C60" s="3"/>
      <c r="D60" s="3"/>
      <c r="E60" s="3"/>
      <c r="F60" s="3"/>
      <c r="G60" s="1" t="s">
        <v>40</v>
      </c>
      <c r="I60" s="3"/>
      <c r="J60" s="3"/>
      <c r="K60" s="3"/>
      <c r="L60" s="3"/>
      <c r="M60" s="1" t="s">
        <v>40</v>
      </c>
      <c r="S60" s="1" t="s">
        <v>40</v>
      </c>
      <c r="U60" s="3"/>
      <c r="V60" s="3"/>
      <c r="W60" s="3"/>
      <c r="X60" s="3"/>
      <c r="AA60" s="12"/>
      <c r="AB60" s="12"/>
      <c r="AC60" s="12"/>
      <c r="AD60" s="12"/>
      <c r="AE60" s="1" t="s">
        <v>40</v>
      </c>
    </row>
    <row r="61" spans="1:31" x14ac:dyDescent="0.25">
      <c r="A61" s="2" t="s">
        <v>20</v>
      </c>
      <c r="B61" s="3" t="str" cm="1">
        <f t="array" ref="B61:F61">_xlfn.ANCHORARRAY(B10)</f>
        <v>0. AG2024</v>
      </c>
      <c r="C61" s="3" t="str">
        <v>1. AG2024 PreCovid</v>
      </c>
      <c r="D61" s="3" t="str">
        <v>2. Update PreCovid HMD-sterftedate</v>
      </c>
      <c r="E61" s="3" t="str">
        <v>3. Modelwijziging startpunt prognose</v>
      </c>
      <c r="F61" s="3" t="str">
        <v>4. Vernieuwde oversterfteparameters obv 2022/2023</v>
      </c>
      <c r="G61" s="1" t="s">
        <v>40</v>
      </c>
      <c r="H61" s="1" t="str" cm="1">
        <f t="array" ref="H61:L61">_xlfn.ANCHORARRAY(B10)</f>
        <v>0. AG2024</v>
      </c>
      <c r="I61" s="3" t="str">
        <v>1. AG2024 PreCovid</v>
      </c>
      <c r="J61" s="3" t="str">
        <v>2. Update PreCovid HMD-sterftedate</v>
      </c>
      <c r="K61" s="3" t="str">
        <v>3. Modelwijziging startpunt prognose</v>
      </c>
      <c r="L61" s="3" t="str">
        <v>4. Vernieuwde oversterfteparameters obv 2022/2023</v>
      </c>
      <c r="M61" s="1" t="s">
        <v>40</v>
      </c>
      <c r="N61" s="4" t="str" cm="1">
        <f t="array" ref="N61:R61">_xlfn.ANCHORARRAY(B10)</f>
        <v>0. AG2024</v>
      </c>
      <c r="O61" s="4" t="str">
        <v>1. AG2024 PreCovid</v>
      </c>
      <c r="P61" s="4" t="str">
        <v>2. Update PreCovid HMD-sterftedate</v>
      </c>
      <c r="Q61" s="4" t="str">
        <v>3. Modelwijziging startpunt prognose</v>
      </c>
      <c r="R61" s="1" t="str">
        <v>4. Vernieuwde oversterfteparameters obv 2022/2023</v>
      </c>
      <c r="S61" s="1" t="s">
        <v>40</v>
      </c>
      <c r="T61" s="1" t="str" cm="1">
        <f t="array" ref="T61:X61">_xlfn.ANCHORARRAY($B$10)</f>
        <v>0. AG2024</v>
      </c>
      <c r="U61" s="3" t="str">
        <v>1. AG2024 PreCovid</v>
      </c>
      <c r="V61" s="3" t="str">
        <v>2. Update PreCovid HMD-sterftedate</v>
      </c>
      <c r="W61" s="3" t="str">
        <v>3. Modelwijziging startpunt prognose</v>
      </c>
      <c r="X61" s="3" t="str">
        <v>4. Vernieuwde oversterfteparameters obv 2022/2023</v>
      </c>
      <c r="Y61" s="1" t="s">
        <v>40</v>
      </c>
      <c r="Z61" s="1" t="str" cm="1">
        <f t="array" ref="Z61:AD61">_xlfn.ANCHORARRAY($B$10)</f>
        <v>0. AG2024</v>
      </c>
      <c r="AA61" s="12" t="str">
        <v>1. AG2024 PreCovid</v>
      </c>
      <c r="AB61" s="12" t="str">
        <v>2. Update PreCovid HMD-sterftedate</v>
      </c>
      <c r="AC61" s="12" t="str">
        <v>3. Modelwijziging startpunt prognose</v>
      </c>
      <c r="AD61" s="12" t="str">
        <v>4. Vernieuwde oversterfteparameters obv 2022/2023</v>
      </c>
      <c r="AE61" s="1" t="s">
        <v>40</v>
      </c>
    </row>
    <row r="62" spans="1:31" x14ac:dyDescent="0.25">
      <c r="A62" s="2">
        <v>30</v>
      </c>
      <c r="B62" s="6">
        <v>27.7539644105556</v>
      </c>
      <c r="C62" s="7">
        <v>27.7539645708659</v>
      </c>
      <c r="D62" s="7">
        <v>27.7375907275913</v>
      </c>
      <c r="E62" s="7">
        <v>27.742036141493099</v>
      </c>
      <c r="F62" s="7">
        <v>27.742037095237102</v>
      </c>
      <c r="G62" s="1" t="s">
        <v>40</v>
      </c>
      <c r="I62" s="8">
        <f>C62-B62</f>
        <v>1.6031030014573844E-7</v>
      </c>
      <c r="J62" s="8">
        <f>D62-C62</f>
        <v>-1.6373843274600119E-2</v>
      </c>
      <c r="K62" s="8">
        <f>E62-D62</f>
        <v>4.4454139017986449E-3</v>
      </c>
      <c r="L62" s="8">
        <f>F62-E62</f>
        <v>9.5374400288505967E-7</v>
      </c>
      <c r="M62" s="1" t="s">
        <v>40</v>
      </c>
      <c r="O62" s="9">
        <f>I62/B62</f>
        <v>5.7761225666473797E-9</v>
      </c>
      <c r="P62" s="9">
        <f>J62/C62</f>
        <v>-5.8996411964106182E-4</v>
      </c>
      <c r="Q62" s="9">
        <f>K62/D62</f>
        <v>1.6026676381004774E-4</v>
      </c>
      <c r="R62" s="9">
        <f>L62/E62</f>
        <v>3.437901955071595E-8</v>
      </c>
      <c r="S62" s="1" t="s">
        <v>40</v>
      </c>
      <c r="U62" s="6">
        <f>C62-$B62</f>
        <v>1.6031030014573844E-7</v>
      </c>
      <c r="V62" s="6">
        <f>D62-$B62</f>
        <v>-1.6373682964299974E-2</v>
      </c>
      <c r="W62" s="6">
        <f>E62-$B62</f>
        <v>-1.1928269062501329E-2</v>
      </c>
      <c r="X62" s="6">
        <f>F62-$B62</f>
        <v>-1.1927315318498444E-2</v>
      </c>
      <c r="AA62" s="13">
        <f t="shared" si="1"/>
        <v>5.7761225666473797E-9</v>
      </c>
      <c r="AB62" s="13">
        <f t="shared" ref="AB62:AB68" si="14">V62/$B62</f>
        <v>-5.8995834692620013E-4</v>
      </c>
      <c r="AC62" s="13">
        <f t="shared" ref="AC62:AC68" si="15">W62/$B62</f>
        <v>-4.2978613383119703E-4</v>
      </c>
      <c r="AD62" s="13">
        <f t="shared" ref="AD62:AD68" si="16">X62/$B62</f>
        <v>-4.2975176958727224E-4</v>
      </c>
      <c r="AE62" s="1" t="s">
        <v>40</v>
      </c>
    </row>
    <row r="63" spans="1:31" x14ac:dyDescent="0.25">
      <c r="A63" s="2">
        <v>40</v>
      </c>
      <c r="B63" s="6">
        <v>25.4624405021715</v>
      </c>
      <c r="C63" s="7">
        <v>25.462441682661701</v>
      </c>
      <c r="D63" s="7">
        <v>25.4418251328884</v>
      </c>
      <c r="E63" s="7">
        <v>25.4594980711116</v>
      </c>
      <c r="F63" s="7">
        <v>25.459498899630599</v>
      </c>
      <c r="G63" s="1" t="s">
        <v>40</v>
      </c>
      <c r="I63" s="8">
        <f>C63-B63</f>
        <v>1.1804902015910557E-6</v>
      </c>
      <c r="J63" s="8">
        <f>D63-C63</f>
        <v>-2.0616549773301074E-2</v>
      </c>
      <c r="K63" s="8">
        <f>E63-D63</f>
        <v>1.7672938223199708E-2</v>
      </c>
      <c r="L63" s="8">
        <f>F63-E63</f>
        <v>8.2851899918523486E-7</v>
      </c>
      <c r="M63" s="1" t="s">
        <v>40</v>
      </c>
      <c r="O63" s="9">
        <f>I63/B63</f>
        <v>4.6362021012494092E-8</v>
      </c>
      <c r="P63" s="9">
        <f>J63/C63</f>
        <v>-8.0968471249713765E-4</v>
      </c>
      <c r="Q63" s="9">
        <f>K63/D63</f>
        <v>6.9464113250090973E-4</v>
      </c>
      <c r="R63" s="9">
        <f>L63/E63</f>
        <v>3.2542628958005238E-8</v>
      </c>
      <c r="S63" s="1" t="s">
        <v>40</v>
      </c>
      <c r="U63" s="6">
        <f>C63-$B63</f>
        <v>1.1804902015910557E-6</v>
      </c>
      <c r="V63" s="6">
        <f>D63-$B63</f>
        <v>-2.0615369283099483E-2</v>
      </c>
      <c r="W63" s="6">
        <f>E63-$B63</f>
        <v>-2.9424310598997749E-3</v>
      </c>
      <c r="X63" s="6">
        <f>F63-$B63</f>
        <v>-2.9416025409005897E-3</v>
      </c>
      <c r="AA63" s="13">
        <f t="shared" si="1"/>
        <v>4.6362021012494092E-8</v>
      </c>
      <c r="AB63" s="13">
        <f t="shared" si="14"/>
        <v>-8.0963838801474479E-4</v>
      </c>
      <c r="AC63" s="13">
        <f t="shared" si="15"/>
        <v>-1.1555966364060182E-4</v>
      </c>
      <c r="AD63" s="13">
        <f t="shared" si="16"/>
        <v>-1.1552712477225907E-4</v>
      </c>
      <c r="AE63" s="1" t="s">
        <v>40</v>
      </c>
    </row>
    <row r="64" spans="1:31" x14ac:dyDescent="0.25">
      <c r="A64" s="2">
        <v>50</v>
      </c>
      <c r="B64" s="6">
        <v>22.455184348393701</v>
      </c>
      <c r="C64" s="7">
        <v>22.455211753466902</v>
      </c>
      <c r="D64" s="7">
        <v>22.431263427868402</v>
      </c>
      <c r="E64" s="7">
        <v>22.4408687246112</v>
      </c>
      <c r="F64" s="7">
        <v>22.4408563648796</v>
      </c>
      <c r="G64" s="1" t="s">
        <v>40</v>
      </c>
      <c r="I64" s="8">
        <f>C64-B64</f>
        <v>2.7405073200981178E-5</v>
      </c>
      <c r="J64" s="8">
        <f>D64-C64</f>
        <v>-2.394832559850002E-2</v>
      </c>
      <c r="K64" s="8">
        <f>E64-D64</f>
        <v>9.6052967427979752E-3</v>
      </c>
      <c r="L64" s="8">
        <f>F64-E64</f>
        <v>-1.235973159907644E-5</v>
      </c>
      <c r="M64" s="1" t="s">
        <v>40</v>
      </c>
      <c r="O64" s="9">
        <f>I64/B64</f>
        <v>1.2204341222850642E-6</v>
      </c>
      <c r="P64" s="9">
        <f>J64/C64</f>
        <v>-1.0664929755027847E-3</v>
      </c>
      <c r="Q64" s="9">
        <f>K64/D64</f>
        <v>4.2821024208847909E-4</v>
      </c>
      <c r="R64" s="9">
        <f>L64/E64</f>
        <v>-5.507688561771835E-7</v>
      </c>
      <c r="S64" s="1" t="s">
        <v>40</v>
      </c>
      <c r="U64" s="6">
        <f>C64-$B64</f>
        <v>2.7405073200981178E-5</v>
      </c>
      <c r="V64" s="6">
        <f>D64-$B64</f>
        <v>-2.3920920525299039E-2</v>
      </c>
      <c r="W64" s="6">
        <f>E64-$B64</f>
        <v>-1.4315623782501063E-2</v>
      </c>
      <c r="X64" s="6">
        <f>F64-$B64</f>
        <v>-1.432798351410014E-2</v>
      </c>
      <c r="AA64" s="13">
        <f t="shared" si="1"/>
        <v>1.2204341222850642E-6</v>
      </c>
      <c r="AB64" s="13">
        <f t="shared" si="14"/>
        <v>-1.0652738429649182E-3</v>
      </c>
      <c r="AC64" s="13">
        <f t="shared" si="15"/>
        <v>-6.3751976204662558E-4</v>
      </c>
      <c r="AD64" s="13">
        <f t="shared" si="16"/>
        <v>-6.380701797767727E-4</v>
      </c>
      <c r="AE64" s="1" t="s">
        <v>40</v>
      </c>
    </row>
    <row r="65" spans="1:31" x14ac:dyDescent="0.25">
      <c r="A65" s="2">
        <v>60</v>
      </c>
      <c r="B65" s="6">
        <v>18.663254119370698</v>
      </c>
      <c r="C65" s="7">
        <v>18.669249442005</v>
      </c>
      <c r="D65" s="7">
        <v>18.643538236054201</v>
      </c>
      <c r="E65" s="7">
        <v>18.6258948966574</v>
      </c>
      <c r="F65" s="7">
        <v>18.622327996342602</v>
      </c>
      <c r="G65" s="1" t="s">
        <v>40</v>
      </c>
      <c r="I65" s="8">
        <f>C65-B65</f>
        <v>5.9953226343019139E-3</v>
      </c>
      <c r="J65" s="8">
        <f>D65-C65</f>
        <v>-2.5711205950798899E-2</v>
      </c>
      <c r="K65" s="8">
        <f>E65-D65</f>
        <v>-1.7643339396801849E-2</v>
      </c>
      <c r="L65" s="8">
        <f>F65-E65</f>
        <v>-3.566900314798005E-3</v>
      </c>
      <c r="M65" s="1" t="s">
        <v>40</v>
      </c>
      <c r="O65" s="9">
        <f>I65/B65</f>
        <v>3.2123672516891545E-4</v>
      </c>
      <c r="P65" s="9">
        <f>J65/C65</f>
        <v>-1.3771954802290981E-3</v>
      </c>
      <c r="Q65" s="9">
        <f>K65/D65</f>
        <v>-9.463514475316656E-4</v>
      </c>
      <c r="R65" s="9">
        <f>L65/E65</f>
        <v>-1.9150222497165065E-4</v>
      </c>
      <c r="S65" s="1" t="s">
        <v>40</v>
      </c>
      <c r="U65" s="6">
        <f>C65-$B65</f>
        <v>5.9953226343019139E-3</v>
      </c>
      <c r="V65" s="6">
        <f>D65-$B65</f>
        <v>-1.9715883316496985E-2</v>
      </c>
      <c r="W65" s="6">
        <f>E65-$B65</f>
        <v>-3.7359222713298834E-2</v>
      </c>
      <c r="X65" s="6">
        <f>F65-$B65</f>
        <v>-4.0926123028096839E-2</v>
      </c>
      <c r="AA65" s="13">
        <f t="shared" si="1"/>
        <v>3.2123672516891545E-4</v>
      </c>
      <c r="AB65" s="13">
        <f t="shared" si="14"/>
        <v>-1.056401160826169E-3</v>
      </c>
      <c r="AC65" s="13">
        <f t="shared" si="15"/>
        <v>-2.0017528815901124E-3</v>
      </c>
      <c r="AD65" s="13">
        <f t="shared" si="16"/>
        <v>-2.1928717664310951E-3</v>
      </c>
      <c r="AE65" s="1" t="s">
        <v>40</v>
      </c>
    </row>
    <row r="66" spans="1:31" x14ac:dyDescent="0.25">
      <c r="A66" s="2">
        <v>70</v>
      </c>
      <c r="B66" s="6">
        <v>14.002900680818501</v>
      </c>
      <c r="C66" s="7">
        <v>14.0270593284187</v>
      </c>
      <c r="D66" s="7">
        <v>14.002775173416101</v>
      </c>
      <c r="E66" s="7">
        <v>13.993200490340101</v>
      </c>
      <c r="F66" s="7">
        <v>13.9719624362023</v>
      </c>
      <c r="G66" s="1" t="s">
        <v>40</v>
      </c>
      <c r="I66" s="8">
        <f>C66-B66</f>
        <v>2.4158647600199146E-2</v>
      </c>
      <c r="J66" s="8">
        <f>D66-C66</f>
        <v>-2.4284155002598951E-2</v>
      </c>
      <c r="K66" s="8">
        <f>E66-D66</f>
        <v>-9.5746830759999568E-3</v>
      </c>
      <c r="L66" s="8">
        <f>F66-E66</f>
        <v>-2.1238054137800333E-2</v>
      </c>
      <c r="M66" s="1" t="s">
        <v>40</v>
      </c>
      <c r="O66" s="9">
        <f>I66/B66</f>
        <v>1.7252602264966588E-3</v>
      </c>
      <c r="P66" s="9">
        <f>J66/C66</f>
        <v>-1.7312363506868089E-3</v>
      </c>
      <c r="Q66" s="9">
        <f>K66/D66</f>
        <v>-6.8377039247028977E-4</v>
      </c>
      <c r="R66" s="9">
        <f>L66/E66</f>
        <v>-1.5177410023147712E-3</v>
      </c>
      <c r="S66" s="1" t="s">
        <v>40</v>
      </c>
      <c r="U66" s="6">
        <f>C66-$B66</f>
        <v>2.4158647600199146E-2</v>
      </c>
      <c r="V66" s="6">
        <f>D66-$B66</f>
        <v>-1.2550740239980485E-4</v>
      </c>
      <c r="W66" s="6">
        <f>E66-$B66</f>
        <v>-9.7001904783997617E-3</v>
      </c>
      <c r="X66" s="6">
        <f>F66-$B66</f>
        <v>-3.0938244616200095E-2</v>
      </c>
      <c r="AA66" s="13">
        <f t="shared" si="1"/>
        <v>1.7252602264966588E-3</v>
      </c>
      <c r="AB66" s="13">
        <f t="shared" si="14"/>
        <v>-8.9629574086551801E-6</v>
      </c>
      <c r="AC66" s="13">
        <f t="shared" si="15"/>
        <v>-6.9272722127403997E-4</v>
      </c>
      <c r="AD66" s="13">
        <f t="shared" si="16"/>
        <v>-2.209416843081664E-3</v>
      </c>
      <c r="AE66" s="1" t="s">
        <v>40</v>
      </c>
    </row>
    <row r="67" spans="1:31" x14ac:dyDescent="0.25">
      <c r="A67" s="2">
        <v>80</v>
      </c>
      <c r="B67" s="6">
        <v>8.7005448397007505</v>
      </c>
      <c r="C67" s="7">
        <v>8.7328074716313893</v>
      </c>
      <c r="D67" s="7">
        <v>8.7152092762458295</v>
      </c>
      <c r="E67" s="7">
        <v>8.7172023000969006</v>
      </c>
      <c r="F67" s="7">
        <v>8.68468444872234</v>
      </c>
      <c r="G67" s="1" t="s">
        <v>40</v>
      </c>
      <c r="I67" s="8">
        <f>C67-B67</f>
        <v>3.2262631930638719E-2</v>
      </c>
      <c r="J67" s="8">
        <f>D67-C67</f>
        <v>-1.7598195385559734E-2</v>
      </c>
      <c r="K67" s="8">
        <f>E67-D67</f>
        <v>1.9930238510710296E-3</v>
      </c>
      <c r="L67" s="8">
        <f>F67-E67</f>
        <v>-3.2517851374560536E-2</v>
      </c>
      <c r="M67" s="1" t="s">
        <v>40</v>
      </c>
      <c r="O67" s="9">
        <f>I67/B67</f>
        <v>3.7081162760547728E-3</v>
      </c>
      <c r="P67" s="9">
        <f>J67/C67</f>
        <v>-2.0151818808244251E-3</v>
      </c>
      <c r="Q67" s="9">
        <f>K67/D67</f>
        <v>2.2868341859594979E-4</v>
      </c>
      <c r="R67" s="9">
        <f>L67/E67</f>
        <v>-3.7303082176031485E-3</v>
      </c>
      <c r="S67" s="1" t="s">
        <v>40</v>
      </c>
      <c r="U67" s="6">
        <f>C67-$B67</f>
        <v>3.2262631930638719E-2</v>
      </c>
      <c r="V67" s="6">
        <f>D67-$B67</f>
        <v>1.4664436545078985E-2</v>
      </c>
      <c r="W67" s="6">
        <f>E67-$B67</f>
        <v>1.6657460396150015E-2</v>
      </c>
      <c r="X67" s="6">
        <f>F67-$B67</f>
        <v>-1.5860390978410521E-2</v>
      </c>
      <c r="AA67" s="13">
        <f t="shared" si="1"/>
        <v>3.7081162760547728E-3</v>
      </c>
      <c r="AB67" s="13">
        <f t="shared" si="14"/>
        <v>1.6854618664988523E-3</v>
      </c>
      <c r="AC67" s="13">
        <f t="shared" si="15"/>
        <v>1.9145307222763462E-3</v>
      </c>
      <c r="AD67" s="13">
        <f t="shared" si="16"/>
        <v>-1.8229192850129634E-3</v>
      </c>
      <c r="AE67" s="1" t="s">
        <v>40</v>
      </c>
    </row>
    <row r="68" spans="1:31" x14ac:dyDescent="0.25">
      <c r="A68" s="2">
        <v>90</v>
      </c>
      <c r="B68" s="6">
        <v>4.1866256185416697</v>
      </c>
      <c r="C68" s="7">
        <v>4.2347524880990397</v>
      </c>
      <c r="D68" s="7">
        <v>4.22851346781869</v>
      </c>
      <c r="E68" s="7">
        <v>4.2098048994869597</v>
      </c>
      <c r="F68" s="7">
        <v>4.1642619052820997</v>
      </c>
      <c r="G68" s="1" t="s">
        <v>40</v>
      </c>
      <c r="I68" s="8">
        <f>C68-B68</f>
        <v>4.812686955737E-2</v>
      </c>
      <c r="J68" s="8">
        <f>D68-C68</f>
        <v>-6.2390202803497274E-3</v>
      </c>
      <c r="K68" s="8">
        <f>E68-D68</f>
        <v>-1.8708568331730291E-2</v>
      </c>
      <c r="L68" s="8">
        <f>F68-E68</f>
        <v>-4.5542994204859966E-2</v>
      </c>
      <c r="M68" s="1" t="s">
        <v>40</v>
      </c>
      <c r="O68" s="9">
        <f>I68/B68</f>
        <v>1.1495384097452226E-2</v>
      </c>
      <c r="P68" s="9">
        <f>J68/C68</f>
        <v>-1.4732904220219004E-3</v>
      </c>
      <c r="Q68" s="9">
        <f>K68/D68</f>
        <v>-4.4243842367093708E-3</v>
      </c>
      <c r="R68" s="9">
        <f>L68/E68</f>
        <v>-1.0818314694443488E-2</v>
      </c>
      <c r="S68" s="1" t="s">
        <v>40</v>
      </c>
      <c r="U68" s="6">
        <f>C68-$B68</f>
        <v>4.812686955737E-2</v>
      </c>
      <c r="V68" s="6">
        <f>D68-$B68</f>
        <v>4.1887849277020273E-2</v>
      </c>
      <c r="W68" s="6">
        <f>E68-$B68</f>
        <v>2.3179280945289982E-2</v>
      </c>
      <c r="X68" s="6">
        <f>F68-$B68</f>
        <v>-2.2363713259569984E-2</v>
      </c>
      <c r="AA68" s="13">
        <f t="shared" si="1"/>
        <v>1.1495384097452226E-2</v>
      </c>
      <c r="AB68" s="13">
        <f t="shared" si="14"/>
        <v>1.0005157636142086E-2</v>
      </c>
      <c r="AC68" s="13">
        <f t="shared" si="15"/>
        <v>5.5365067377015761E-3</v>
      </c>
      <c r="AD68" s="13">
        <f t="shared" si="16"/>
        <v>-5.3417036289382745E-3</v>
      </c>
      <c r="AE68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9768-7F22-4657-A64A-DD0A3F32DBCB}">
  <dimension ref="A1:O133"/>
  <sheetViews>
    <sheetView topLeftCell="A4" workbookViewId="0">
      <selection activeCell="B22" sqref="B22"/>
    </sheetView>
  </sheetViews>
  <sheetFormatPr defaultRowHeight="15" x14ac:dyDescent="0.25"/>
  <cols>
    <col min="1" max="1" width="33.7109375" style="1" customWidth="1"/>
    <col min="2" max="2" width="47" style="1" bestFit="1" customWidth="1"/>
    <col min="3" max="3" width="6.85546875" style="1" bestFit="1" customWidth="1"/>
    <col min="4" max="5" width="16.85546875" style="1" bestFit="1" customWidth="1"/>
    <col min="6" max="6" width="17.85546875" style="1" bestFit="1" customWidth="1"/>
    <col min="7" max="7" width="17.42578125" style="1" customWidth="1"/>
    <col min="8" max="8" width="12.42578125" style="1" bestFit="1" customWidth="1"/>
    <col min="9" max="9" width="11.42578125" style="1" bestFit="1" customWidth="1"/>
    <col min="10" max="10" width="18.7109375" style="1" bestFit="1" customWidth="1"/>
    <col min="11" max="14" width="12.42578125" style="1" bestFit="1" customWidth="1"/>
    <col min="15" max="15" width="14.140625" style="1" bestFit="1" customWidth="1"/>
    <col min="16" max="16384" width="9.140625" style="1"/>
  </cols>
  <sheetData>
    <row r="1" spans="1:15" x14ac:dyDescent="0.25">
      <c r="A1" s="2" t="s">
        <v>58</v>
      </c>
    </row>
    <row r="2" spans="1:15" x14ac:dyDescent="0.25">
      <c r="A2" s="1" t="s">
        <v>52</v>
      </c>
    </row>
    <row r="3" spans="1:15" x14ac:dyDescent="0.25">
      <c r="A3" s="1" t="s">
        <v>53</v>
      </c>
    </row>
    <row r="4" spans="1:15" x14ac:dyDescent="0.25">
      <c r="A4" s="1" t="s">
        <v>54</v>
      </c>
    </row>
    <row r="5" spans="1:15" x14ac:dyDescent="0.25">
      <c r="A5" s="1" t="s">
        <v>57</v>
      </c>
    </row>
    <row r="7" spans="1:15" ht="13.5" customHeight="1" thickBot="1" x14ac:dyDescent="0.3">
      <c r="A7" s="16" t="s">
        <v>45</v>
      </c>
      <c r="B7" s="16" t="s">
        <v>0</v>
      </c>
      <c r="C7" s="16" t="s">
        <v>1</v>
      </c>
      <c r="D7" s="16" t="s">
        <v>12</v>
      </c>
      <c r="E7" s="16" t="s">
        <v>13</v>
      </c>
      <c r="F7" s="16" t="s">
        <v>14</v>
      </c>
      <c r="G7" s="16" t="s">
        <v>15</v>
      </c>
      <c r="H7" s="16" t="s">
        <v>16</v>
      </c>
      <c r="I7" s="16" t="s">
        <v>17</v>
      </c>
      <c r="J7" s="16" t="s">
        <v>18</v>
      </c>
      <c r="K7" s="16" t="s">
        <v>19</v>
      </c>
      <c r="L7" s="16" t="s">
        <v>2</v>
      </c>
      <c r="M7" s="16" t="s">
        <v>3</v>
      </c>
      <c r="N7" s="16" t="s">
        <v>4</v>
      </c>
      <c r="O7" s="16" t="s">
        <v>5</v>
      </c>
    </row>
    <row r="8" spans="1:15" x14ac:dyDescent="0.25">
      <c r="A8" s="1" t="s">
        <v>46</v>
      </c>
      <c r="B8" t="s">
        <v>35</v>
      </c>
      <c r="C8" t="s">
        <v>6</v>
      </c>
      <c r="D8" s="1">
        <v>514512.25798875501</v>
      </c>
      <c r="E8" s="1">
        <v>124583.126453173</v>
      </c>
      <c r="F8" s="2">
        <v>0</v>
      </c>
      <c r="G8" s="1">
        <v>639095.38444192801</v>
      </c>
      <c r="H8" s="2">
        <v>0</v>
      </c>
      <c r="I8" s="2">
        <v>0</v>
      </c>
      <c r="J8" s="1">
        <v>30724.403794310801</v>
      </c>
      <c r="K8" s="1">
        <v>30724.403794310801</v>
      </c>
      <c r="L8" s="1">
        <v>514512.25798875501</v>
      </c>
      <c r="M8" s="1">
        <v>124583.126453173</v>
      </c>
      <c r="N8" s="1">
        <v>30724.403794310801</v>
      </c>
      <c r="O8" s="1">
        <v>669819.78823623899</v>
      </c>
    </row>
    <row r="9" spans="1:15" x14ac:dyDescent="0.25">
      <c r="A9" s="1" t="s">
        <v>46</v>
      </c>
      <c r="B9" t="s">
        <v>35</v>
      </c>
      <c r="C9" t="s">
        <v>7</v>
      </c>
      <c r="D9" s="1">
        <v>538358.61829741695</v>
      </c>
      <c r="E9" s="1">
        <v>128544.331015516</v>
      </c>
      <c r="F9" s="2">
        <v>0</v>
      </c>
      <c r="G9" s="1">
        <v>666902.94931293302</v>
      </c>
      <c r="H9" s="2">
        <v>0</v>
      </c>
      <c r="I9" s="2">
        <v>0</v>
      </c>
      <c r="J9" s="1">
        <v>116005.849504065</v>
      </c>
      <c r="K9" s="1">
        <v>116005.849504065</v>
      </c>
      <c r="L9" s="1">
        <v>538358.61829741695</v>
      </c>
      <c r="M9" s="1">
        <v>128544.331015516</v>
      </c>
      <c r="N9" s="1">
        <v>116005.849504065</v>
      </c>
      <c r="O9" s="1">
        <v>782908.79881699802</v>
      </c>
    </row>
    <row r="10" spans="1:15" x14ac:dyDescent="0.25">
      <c r="A10" s="1" t="s">
        <v>46</v>
      </c>
      <c r="B10" t="s">
        <v>35</v>
      </c>
      <c r="C10" t="s">
        <v>8</v>
      </c>
      <c r="D10" s="1">
        <v>617666.37325262604</v>
      </c>
      <c r="E10" s="1">
        <v>149135.07945905399</v>
      </c>
      <c r="F10" s="2">
        <v>0</v>
      </c>
      <c r="G10" s="1">
        <v>766801.45271167997</v>
      </c>
      <c r="H10" s="2">
        <v>0</v>
      </c>
      <c r="I10" s="2">
        <v>0</v>
      </c>
      <c r="J10" s="1">
        <v>289712.289710304</v>
      </c>
      <c r="K10" s="1">
        <v>289712.289710304</v>
      </c>
      <c r="L10" s="1">
        <v>617666.37325262604</v>
      </c>
      <c r="M10" s="1">
        <v>149135.07945905399</v>
      </c>
      <c r="N10" s="1">
        <v>289712.289710304</v>
      </c>
      <c r="O10" s="1">
        <v>1056513.74242198</v>
      </c>
    </row>
    <row r="11" spans="1:15" x14ac:dyDescent="0.25">
      <c r="A11" s="1" t="s">
        <v>46</v>
      </c>
      <c r="B11" t="s">
        <v>35</v>
      </c>
      <c r="C11" t="s">
        <v>9</v>
      </c>
      <c r="D11" s="2">
        <v>0</v>
      </c>
      <c r="E11" s="2">
        <v>0</v>
      </c>
      <c r="F11" s="1">
        <v>11284.188320949601</v>
      </c>
      <c r="G11" s="1">
        <v>11284.188320949601</v>
      </c>
      <c r="H11" s="1">
        <v>450010.32495398301</v>
      </c>
      <c r="I11" s="1">
        <v>42939.801595883902</v>
      </c>
      <c r="J11" s="2">
        <v>0</v>
      </c>
      <c r="K11" s="1">
        <v>492950.12654986698</v>
      </c>
      <c r="L11" s="1">
        <v>450010.32495398301</v>
      </c>
      <c r="M11" s="1">
        <v>42939.801595883902</v>
      </c>
      <c r="N11" s="1">
        <v>11284.188320949601</v>
      </c>
      <c r="O11" s="1">
        <v>504234.314870817</v>
      </c>
    </row>
    <row r="12" spans="1:15" x14ac:dyDescent="0.25">
      <c r="A12" s="1" t="s">
        <v>46</v>
      </c>
      <c r="B12" t="s">
        <v>35</v>
      </c>
      <c r="C12" t="s">
        <v>10</v>
      </c>
      <c r="D12" s="2">
        <v>0</v>
      </c>
      <c r="E12" s="2">
        <v>0</v>
      </c>
      <c r="F12" s="1">
        <v>13381.9711817261</v>
      </c>
      <c r="G12" s="1">
        <v>13381.9711817261</v>
      </c>
      <c r="H12" s="1">
        <v>501179.325413935</v>
      </c>
      <c r="I12" s="1">
        <v>36023.5243578761</v>
      </c>
      <c r="J12" s="2">
        <v>0</v>
      </c>
      <c r="K12" s="1">
        <v>537202.84977181104</v>
      </c>
      <c r="L12" s="1">
        <v>501179.325413935</v>
      </c>
      <c r="M12" s="1">
        <v>36023.5243578761</v>
      </c>
      <c r="N12" s="1">
        <v>13381.9711817261</v>
      </c>
      <c r="O12" s="1">
        <v>550584.82095353701</v>
      </c>
    </row>
    <row r="13" spans="1:15" x14ac:dyDescent="0.25">
      <c r="A13" s="1" t="s">
        <v>46</v>
      </c>
      <c r="B13" t="s">
        <v>35</v>
      </c>
      <c r="C13" t="s">
        <v>11</v>
      </c>
      <c r="D13" s="2">
        <v>0</v>
      </c>
      <c r="E13" s="2">
        <v>0</v>
      </c>
      <c r="F13" s="1">
        <v>31075.947328619099</v>
      </c>
      <c r="G13" s="1">
        <v>31075.947328619099</v>
      </c>
      <c r="H13" s="1">
        <v>489131.96054930403</v>
      </c>
      <c r="I13" s="1">
        <v>25559.0163298851</v>
      </c>
      <c r="J13" s="2">
        <v>0</v>
      </c>
      <c r="K13" s="1">
        <v>514690.97687918902</v>
      </c>
      <c r="L13" s="1">
        <v>489131.96054930403</v>
      </c>
      <c r="M13" s="1">
        <v>25559.0163298851</v>
      </c>
      <c r="N13" s="1">
        <v>31075.947328619099</v>
      </c>
      <c r="O13" s="1">
        <v>545766.92420780798</v>
      </c>
    </row>
    <row r="14" spans="1:15" x14ac:dyDescent="0.25">
      <c r="A14" s="1" t="s">
        <v>46</v>
      </c>
      <c r="B14" t="s">
        <v>36</v>
      </c>
      <c r="C14" t="s">
        <v>6</v>
      </c>
      <c r="D14" s="1">
        <v>514595.276929488</v>
      </c>
      <c r="E14" s="1">
        <v>124573.790260508</v>
      </c>
      <c r="F14" s="2">
        <v>0</v>
      </c>
      <c r="G14" s="1">
        <v>639169.06718999601</v>
      </c>
      <c r="H14" s="2">
        <v>0</v>
      </c>
      <c r="I14" s="2">
        <v>0</v>
      </c>
      <c r="J14" s="1">
        <v>30741.609387412798</v>
      </c>
      <c r="K14" s="1">
        <v>30741.609387412798</v>
      </c>
      <c r="L14" s="1">
        <v>514595.276929488</v>
      </c>
      <c r="M14" s="1">
        <v>124573.790260508</v>
      </c>
      <c r="N14" s="1">
        <v>30741.609387412798</v>
      </c>
      <c r="O14" s="1">
        <v>669910.67657740903</v>
      </c>
    </row>
    <row r="15" spans="1:15" x14ac:dyDescent="0.25">
      <c r="A15" s="1" t="s">
        <v>46</v>
      </c>
      <c r="B15" t="s">
        <v>36</v>
      </c>
      <c r="C15" t="s">
        <v>7</v>
      </c>
      <c r="D15" s="1">
        <v>538571.21774109104</v>
      </c>
      <c r="E15" s="1">
        <v>128527.71668018799</v>
      </c>
      <c r="F15" s="2">
        <v>0</v>
      </c>
      <c r="G15" s="1">
        <v>667098.934421279</v>
      </c>
      <c r="H15" s="2">
        <v>0</v>
      </c>
      <c r="I15" s="2">
        <v>0</v>
      </c>
      <c r="J15" s="1">
        <v>116034.81485856</v>
      </c>
      <c r="K15" s="1">
        <v>116034.81485856</v>
      </c>
      <c r="L15" s="1">
        <v>538571.21774109104</v>
      </c>
      <c r="M15" s="1">
        <v>128527.71668018799</v>
      </c>
      <c r="N15" s="1">
        <v>116034.81485856</v>
      </c>
      <c r="O15" s="1">
        <v>783133.74927983899</v>
      </c>
    </row>
    <row r="16" spans="1:15" x14ac:dyDescent="0.25">
      <c r="A16" s="1" t="s">
        <v>46</v>
      </c>
      <c r="B16" t="s">
        <v>36</v>
      </c>
      <c r="C16" t="s">
        <v>8</v>
      </c>
      <c r="D16" s="1">
        <v>618587.14448888705</v>
      </c>
      <c r="E16" s="1">
        <v>149145.738849263</v>
      </c>
      <c r="F16" s="2">
        <v>0</v>
      </c>
      <c r="G16" s="1">
        <v>767732.88333814999</v>
      </c>
      <c r="H16" s="2">
        <v>0</v>
      </c>
      <c r="I16" s="2">
        <v>0</v>
      </c>
      <c r="J16" s="1">
        <v>290241.42517926003</v>
      </c>
      <c r="K16" s="1">
        <v>290241.42517926003</v>
      </c>
      <c r="L16" s="1">
        <v>618587.14448888705</v>
      </c>
      <c r="M16" s="1">
        <v>149145.738849263</v>
      </c>
      <c r="N16" s="1">
        <v>290241.42517926003</v>
      </c>
      <c r="O16" s="1">
        <v>1057974.30851741</v>
      </c>
    </row>
    <row r="17" spans="1:15" x14ac:dyDescent="0.25">
      <c r="A17" s="1" t="s">
        <v>46</v>
      </c>
      <c r="B17" t="s">
        <v>36</v>
      </c>
      <c r="C17" t="s">
        <v>9</v>
      </c>
      <c r="D17" s="2">
        <v>0</v>
      </c>
      <c r="E17" s="2">
        <v>0</v>
      </c>
      <c r="F17" s="1">
        <v>11284.4275303795</v>
      </c>
      <c r="G17" s="1">
        <v>11284.4275303795</v>
      </c>
      <c r="H17" s="1">
        <v>450065.02841250098</v>
      </c>
      <c r="I17" s="1">
        <v>42919.000623547501</v>
      </c>
      <c r="J17" s="2">
        <v>0</v>
      </c>
      <c r="K17" s="1">
        <v>492984.02903604897</v>
      </c>
      <c r="L17" s="1">
        <v>450065.02841250098</v>
      </c>
      <c r="M17" s="1">
        <v>42919.000623547501</v>
      </c>
      <c r="N17" s="1">
        <v>11284.4275303795</v>
      </c>
      <c r="O17" s="1">
        <v>504268.45656642801</v>
      </c>
    </row>
    <row r="18" spans="1:15" x14ac:dyDescent="0.25">
      <c r="A18" s="1" t="s">
        <v>46</v>
      </c>
      <c r="B18" t="s">
        <v>36</v>
      </c>
      <c r="C18" t="s">
        <v>10</v>
      </c>
      <c r="D18" s="2">
        <v>0</v>
      </c>
      <c r="E18" s="2">
        <v>0</v>
      </c>
      <c r="F18" s="1">
        <v>13383.903157451199</v>
      </c>
      <c r="G18" s="1">
        <v>13383.903157451199</v>
      </c>
      <c r="H18" s="1">
        <v>501629.25846861303</v>
      </c>
      <c r="I18" s="1">
        <v>35962.193677405099</v>
      </c>
      <c r="J18" s="2">
        <v>0</v>
      </c>
      <c r="K18" s="1">
        <v>537591.45214601804</v>
      </c>
      <c r="L18" s="1">
        <v>501629.25846861303</v>
      </c>
      <c r="M18" s="1">
        <v>35962.193677405099</v>
      </c>
      <c r="N18" s="1">
        <v>13383.903157451199</v>
      </c>
      <c r="O18" s="1">
        <v>550975.35530347005</v>
      </c>
    </row>
    <row r="19" spans="1:15" x14ac:dyDescent="0.25">
      <c r="A19" s="1" t="s">
        <v>46</v>
      </c>
      <c r="B19" t="s">
        <v>36</v>
      </c>
      <c r="C19" t="s">
        <v>11</v>
      </c>
      <c r="D19" s="2">
        <v>0</v>
      </c>
      <c r="E19" s="2">
        <v>0</v>
      </c>
      <c r="F19" s="1">
        <v>31108.029160545098</v>
      </c>
      <c r="G19" s="1">
        <v>31108.029160545098</v>
      </c>
      <c r="H19" s="1">
        <v>490055.769266257</v>
      </c>
      <c r="I19" s="1">
        <v>25474.755199837698</v>
      </c>
      <c r="J19" s="2">
        <v>0</v>
      </c>
      <c r="K19" s="1">
        <v>515530.52446609398</v>
      </c>
      <c r="L19" s="1">
        <v>490055.769266257</v>
      </c>
      <c r="M19" s="1">
        <v>25474.755199837698</v>
      </c>
      <c r="N19" s="1">
        <v>31108.029160545098</v>
      </c>
      <c r="O19" s="1">
        <v>546638.55362663895</v>
      </c>
    </row>
    <row r="20" spans="1:15" x14ac:dyDescent="0.25">
      <c r="A20" s="1" t="s">
        <v>46</v>
      </c>
      <c r="B20" t="s">
        <v>37</v>
      </c>
      <c r="C20" t="s">
        <v>6</v>
      </c>
      <c r="D20" s="1">
        <v>513307.42367853102</v>
      </c>
      <c r="E20" s="1">
        <v>124710.980531769</v>
      </c>
      <c r="F20" s="2">
        <v>0</v>
      </c>
      <c r="G20" s="1">
        <v>638018.40421029995</v>
      </c>
      <c r="H20" s="2">
        <v>0</v>
      </c>
      <c r="I20" s="2">
        <v>0</v>
      </c>
      <c r="J20" s="1">
        <v>30701.599622748101</v>
      </c>
      <c r="K20" s="1">
        <v>30701.599622748101</v>
      </c>
      <c r="L20" s="1">
        <v>513307.42367853102</v>
      </c>
      <c r="M20" s="1">
        <v>124710.980531769</v>
      </c>
      <c r="N20" s="1">
        <v>30701.599622748101</v>
      </c>
      <c r="O20" s="1">
        <v>668720.00383304805</v>
      </c>
    </row>
    <row r="21" spans="1:15" x14ac:dyDescent="0.25">
      <c r="A21" s="1" t="s">
        <v>46</v>
      </c>
      <c r="B21" t="s">
        <v>37</v>
      </c>
      <c r="C21" t="s">
        <v>7</v>
      </c>
      <c r="D21" s="1">
        <v>537418.69193540898</v>
      </c>
      <c r="E21" s="1">
        <v>128556.78797363699</v>
      </c>
      <c r="F21" s="2">
        <v>0</v>
      </c>
      <c r="G21" s="1">
        <v>665975.47990904597</v>
      </c>
      <c r="H21" s="2">
        <v>0</v>
      </c>
      <c r="I21" s="2">
        <v>0</v>
      </c>
      <c r="J21" s="1">
        <v>115900.097438878</v>
      </c>
      <c r="K21" s="1">
        <v>115900.097438878</v>
      </c>
      <c r="L21" s="1">
        <v>537418.69193540898</v>
      </c>
      <c r="M21" s="1">
        <v>128556.78797363699</v>
      </c>
      <c r="N21" s="1">
        <v>115900.097438878</v>
      </c>
      <c r="O21" s="1">
        <v>781875.577347924</v>
      </c>
    </row>
    <row r="22" spans="1:15" x14ac:dyDescent="0.25">
      <c r="A22" s="1" t="s">
        <v>46</v>
      </c>
      <c r="B22" t="s">
        <v>37</v>
      </c>
      <c r="C22" t="s">
        <v>8</v>
      </c>
      <c r="D22" s="1">
        <v>617476.57382579194</v>
      </c>
      <c r="E22" s="1">
        <v>149038.52155880499</v>
      </c>
      <c r="F22" s="2">
        <v>0</v>
      </c>
      <c r="G22" s="1">
        <v>766515.09538459696</v>
      </c>
      <c r="H22" s="2">
        <v>0</v>
      </c>
      <c r="I22" s="2">
        <v>0</v>
      </c>
      <c r="J22" s="1">
        <v>289764.76891687198</v>
      </c>
      <c r="K22" s="1">
        <v>289764.76891687198</v>
      </c>
      <c r="L22" s="1">
        <v>617476.57382579194</v>
      </c>
      <c r="M22" s="1">
        <v>149038.52155880499</v>
      </c>
      <c r="N22" s="1">
        <v>289764.76891687198</v>
      </c>
      <c r="O22" s="1">
        <v>1056279.8643014701</v>
      </c>
    </row>
    <row r="23" spans="1:15" x14ac:dyDescent="0.25">
      <c r="A23" s="1" t="s">
        <v>46</v>
      </c>
      <c r="B23" t="s">
        <v>37</v>
      </c>
      <c r="C23" t="s">
        <v>9</v>
      </c>
      <c r="D23" s="2">
        <v>0</v>
      </c>
      <c r="E23" s="2">
        <v>0</v>
      </c>
      <c r="F23" s="1">
        <v>11272.8685827475</v>
      </c>
      <c r="G23" s="1">
        <v>11272.8685827475</v>
      </c>
      <c r="H23" s="1">
        <v>449077.43443424202</v>
      </c>
      <c r="I23" s="1">
        <v>42968.199766044803</v>
      </c>
      <c r="J23" s="2">
        <v>0</v>
      </c>
      <c r="K23" s="1">
        <v>492045.63420028699</v>
      </c>
      <c r="L23" s="1">
        <v>449077.43443424202</v>
      </c>
      <c r="M23" s="1">
        <v>42968.199766044803</v>
      </c>
      <c r="N23" s="1">
        <v>11272.8685827475</v>
      </c>
      <c r="O23" s="1">
        <v>503318.502783034</v>
      </c>
    </row>
    <row r="24" spans="1:15" x14ac:dyDescent="0.25">
      <c r="A24" s="1" t="s">
        <v>46</v>
      </c>
      <c r="B24" t="s">
        <v>37</v>
      </c>
      <c r="C24" t="s">
        <v>10</v>
      </c>
      <c r="D24" s="2">
        <v>0</v>
      </c>
      <c r="E24" s="2">
        <v>0</v>
      </c>
      <c r="F24" s="1">
        <v>13367.2169454751</v>
      </c>
      <c r="G24" s="1">
        <v>13367.2169454751</v>
      </c>
      <c r="H24" s="1">
        <v>500630.98913198599</v>
      </c>
      <c r="I24" s="1">
        <v>35986.555812235703</v>
      </c>
      <c r="J24" s="2">
        <v>0</v>
      </c>
      <c r="K24" s="1">
        <v>536617.54494422197</v>
      </c>
      <c r="L24" s="1">
        <v>500630.98913198599</v>
      </c>
      <c r="M24" s="1">
        <v>35986.555812235703</v>
      </c>
      <c r="N24" s="1">
        <v>13367.2169454751</v>
      </c>
      <c r="O24" s="1">
        <v>549984.76188969705</v>
      </c>
    </row>
    <row r="25" spans="1:15" x14ac:dyDescent="0.25">
      <c r="A25" s="1" t="s">
        <v>46</v>
      </c>
      <c r="B25" t="s">
        <v>37</v>
      </c>
      <c r="C25" t="s">
        <v>11</v>
      </c>
      <c r="D25" s="2">
        <v>0</v>
      </c>
      <c r="E25" s="2">
        <v>0</v>
      </c>
      <c r="F25" s="1">
        <v>31063.317228423399</v>
      </c>
      <c r="G25" s="1">
        <v>31063.317228423399</v>
      </c>
      <c r="H25" s="1">
        <v>489144.79751714499</v>
      </c>
      <c r="I25" s="1">
        <v>25482.685315915001</v>
      </c>
      <c r="J25" s="2">
        <v>0</v>
      </c>
      <c r="K25" s="1">
        <v>514627.48283306003</v>
      </c>
      <c r="L25" s="1">
        <v>489144.79751714499</v>
      </c>
      <c r="M25" s="1">
        <v>25482.685315915001</v>
      </c>
      <c r="N25" s="1">
        <v>31063.317228423399</v>
      </c>
      <c r="O25" s="1">
        <v>545690.80006148305</v>
      </c>
    </row>
    <row r="26" spans="1:15" x14ac:dyDescent="0.25">
      <c r="A26" s="1" t="s">
        <v>46</v>
      </c>
      <c r="B26" t="s">
        <v>38</v>
      </c>
      <c r="C26" t="s">
        <v>6</v>
      </c>
      <c r="D26" s="1">
        <v>518119.198919822</v>
      </c>
      <c r="E26" s="1">
        <v>121195.189864218</v>
      </c>
      <c r="F26" s="2">
        <v>0</v>
      </c>
      <c r="G26" s="1">
        <v>639314.38878404</v>
      </c>
      <c r="H26" s="2">
        <v>0</v>
      </c>
      <c r="I26" s="2">
        <v>0</v>
      </c>
      <c r="J26" s="1">
        <v>30694.888634441599</v>
      </c>
      <c r="K26" s="1">
        <v>30694.888634441599</v>
      </c>
      <c r="L26" s="1">
        <v>518119.198919822</v>
      </c>
      <c r="M26" s="1">
        <v>121195.189864218</v>
      </c>
      <c r="N26" s="1">
        <v>30694.888634441599</v>
      </c>
      <c r="O26" s="1">
        <v>670009.277418482</v>
      </c>
    </row>
    <row r="27" spans="1:15" x14ac:dyDescent="0.25">
      <c r="A27" s="1" t="s">
        <v>46</v>
      </c>
      <c r="B27" t="s">
        <v>38</v>
      </c>
      <c r="C27" t="s">
        <v>7</v>
      </c>
      <c r="D27" s="1">
        <v>546893.646374907</v>
      </c>
      <c r="E27" s="1">
        <v>122973.10711443701</v>
      </c>
      <c r="F27" s="2">
        <v>0</v>
      </c>
      <c r="G27" s="1">
        <v>669866.75348934403</v>
      </c>
      <c r="H27" s="2">
        <v>0</v>
      </c>
      <c r="I27" s="2">
        <v>0</v>
      </c>
      <c r="J27" s="1">
        <v>115897.205903833</v>
      </c>
      <c r="K27" s="1">
        <v>115897.205903833</v>
      </c>
      <c r="L27" s="1">
        <v>546893.646374907</v>
      </c>
      <c r="M27" s="1">
        <v>122973.10711443701</v>
      </c>
      <c r="N27" s="1">
        <v>115897.205903833</v>
      </c>
      <c r="O27" s="1">
        <v>785763.95939317695</v>
      </c>
    </row>
    <row r="28" spans="1:15" x14ac:dyDescent="0.25">
      <c r="A28" s="1" t="s">
        <v>46</v>
      </c>
      <c r="B28" t="s">
        <v>38</v>
      </c>
      <c r="C28" t="s">
        <v>8</v>
      </c>
      <c r="D28" s="1">
        <v>636756.680572893</v>
      </c>
      <c r="E28" s="1">
        <v>140215.34030789099</v>
      </c>
      <c r="F28" s="2">
        <v>0</v>
      </c>
      <c r="G28" s="1">
        <v>776972.02088078402</v>
      </c>
      <c r="H28" s="2">
        <v>0</v>
      </c>
      <c r="I28" s="2">
        <v>0</v>
      </c>
      <c r="J28" s="1">
        <v>289555.27443106798</v>
      </c>
      <c r="K28" s="1">
        <v>289555.27443106798</v>
      </c>
      <c r="L28" s="1">
        <v>636756.680572893</v>
      </c>
      <c r="M28" s="1">
        <v>140215.34030789099</v>
      </c>
      <c r="N28" s="1">
        <v>289555.27443106798</v>
      </c>
      <c r="O28" s="1">
        <v>1066527.29531185</v>
      </c>
    </row>
    <row r="29" spans="1:15" x14ac:dyDescent="0.25">
      <c r="A29" s="1" t="s">
        <v>46</v>
      </c>
      <c r="B29" t="s">
        <v>38</v>
      </c>
      <c r="C29" t="s">
        <v>9</v>
      </c>
      <c r="D29" s="2">
        <v>0</v>
      </c>
      <c r="E29" s="2">
        <v>0</v>
      </c>
      <c r="F29" s="1">
        <v>11313.4208828623</v>
      </c>
      <c r="G29" s="1">
        <v>11313.4208828623</v>
      </c>
      <c r="H29" s="1">
        <v>449201.95641081501</v>
      </c>
      <c r="I29" s="1">
        <v>42883.623745582699</v>
      </c>
      <c r="J29" s="2">
        <v>0</v>
      </c>
      <c r="K29" s="1">
        <v>492085.58015639801</v>
      </c>
      <c r="L29" s="1">
        <v>449201.95641081501</v>
      </c>
      <c r="M29" s="1">
        <v>42883.623745582699</v>
      </c>
      <c r="N29" s="1">
        <v>11313.4208828623</v>
      </c>
      <c r="O29" s="1">
        <v>503399.00103926001</v>
      </c>
    </row>
    <row r="30" spans="1:15" x14ac:dyDescent="0.25">
      <c r="A30" s="1" t="s">
        <v>46</v>
      </c>
      <c r="B30" t="s">
        <v>38</v>
      </c>
      <c r="C30" t="s">
        <v>10</v>
      </c>
      <c r="D30" s="2">
        <v>0</v>
      </c>
      <c r="E30" s="2">
        <v>0</v>
      </c>
      <c r="F30" s="1">
        <v>13490.1923721936</v>
      </c>
      <c r="G30" s="1">
        <v>13490.1923721936</v>
      </c>
      <c r="H30" s="1">
        <v>500494.15976454801</v>
      </c>
      <c r="I30" s="1">
        <v>36519.634665851299</v>
      </c>
      <c r="J30" s="2">
        <v>0</v>
      </c>
      <c r="K30" s="1">
        <v>537013.79443039896</v>
      </c>
      <c r="L30" s="1">
        <v>500494.15976454801</v>
      </c>
      <c r="M30" s="1">
        <v>36519.634665851299</v>
      </c>
      <c r="N30" s="1">
        <v>13490.1923721936</v>
      </c>
      <c r="O30" s="1">
        <v>550503.98680259299</v>
      </c>
    </row>
    <row r="31" spans="1:15" x14ac:dyDescent="0.25">
      <c r="A31" s="1" t="s">
        <v>46</v>
      </c>
      <c r="B31" t="s">
        <v>38</v>
      </c>
      <c r="C31" t="s">
        <v>11</v>
      </c>
      <c r="D31" s="2">
        <v>0</v>
      </c>
      <c r="E31" s="2">
        <v>0</v>
      </c>
      <c r="F31" s="1">
        <v>31915.177861358901</v>
      </c>
      <c r="G31" s="1">
        <v>31915.177861358901</v>
      </c>
      <c r="H31" s="1">
        <v>488814.72731947101</v>
      </c>
      <c r="I31" s="1">
        <v>26442.6890662201</v>
      </c>
      <c r="J31" s="2">
        <v>0</v>
      </c>
      <c r="K31" s="1">
        <v>515257.41638569097</v>
      </c>
      <c r="L31" s="1">
        <v>488814.72731947101</v>
      </c>
      <c r="M31" s="1">
        <v>26442.6890662201</v>
      </c>
      <c r="N31" s="1">
        <v>31915.177861358901</v>
      </c>
      <c r="O31" s="1">
        <v>547172.59424705</v>
      </c>
    </row>
    <row r="32" spans="1:15" x14ac:dyDescent="0.25">
      <c r="A32" s="1" t="s">
        <v>46</v>
      </c>
      <c r="B32" t="s">
        <v>39</v>
      </c>
      <c r="C32" t="s">
        <v>6</v>
      </c>
      <c r="D32" s="1">
        <v>517387.24159515102</v>
      </c>
      <c r="E32" s="1">
        <v>121570.731949825</v>
      </c>
      <c r="F32" s="2">
        <v>0</v>
      </c>
      <c r="G32" s="1">
        <v>638957.97354497598</v>
      </c>
      <c r="H32" s="2">
        <v>0</v>
      </c>
      <c r="I32" s="2">
        <v>0</v>
      </c>
      <c r="J32" s="1">
        <v>30680.535259216002</v>
      </c>
      <c r="K32" s="1">
        <v>30680.535259216002</v>
      </c>
      <c r="L32" s="1">
        <v>517387.24159515102</v>
      </c>
      <c r="M32" s="1">
        <v>121570.731949825</v>
      </c>
      <c r="N32" s="1">
        <v>30680.535259216002</v>
      </c>
      <c r="O32" s="1">
        <v>669638.50880419195</v>
      </c>
    </row>
    <row r="33" spans="1:15" x14ac:dyDescent="0.25">
      <c r="A33" s="1" t="s">
        <v>46</v>
      </c>
      <c r="B33" t="s">
        <v>39</v>
      </c>
      <c r="C33" t="s">
        <v>7</v>
      </c>
      <c r="D33" s="1">
        <v>545199.84128694294</v>
      </c>
      <c r="E33" s="1">
        <v>123790.828269163</v>
      </c>
      <c r="F33" s="2">
        <v>0</v>
      </c>
      <c r="G33" s="1">
        <v>668990.66955610598</v>
      </c>
      <c r="H33" s="2">
        <v>0</v>
      </c>
      <c r="I33" s="2">
        <v>0</v>
      </c>
      <c r="J33" s="1">
        <v>115874.55150748399</v>
      </c>
      <c r="K33" s="1">
        <v>115874.55150748399</v>
      </c>
      <c r="L33" s="1">
        <v>545199.84128694294</v>
      </c>
      <c r="M33" s="1">
        <v>123790.828269163</v>
      </c>
      <c r="N33" s="1">
        <v>115874.55150748399</v>
      </c>
      <c r="O33" s="1">
        <v>784865.22106359096</v>
      </c>
    </row>
    <row r="34" spans="1:15" x14ac:dyDescent="0.25">
      <c r="A34" s="1" t="s">
        <v>46</v>
      </c>
      <c r="B34" t="s">
        <v>39</v>
      </c>
      <c r="C34" t="s">
        <v>8</v>
      </c>
      <c r="D34" s="1">
        <v>631906.748448072</v>
      </c>
      <c r="E34" s="1">
        <v>141877.63685665501</v>
      </c>
      <c r="F34" s="2">
        <v>0</v>
      </c>
      <c r="G34" s="1">
        <v>773784.38530472701</v>
      </c>
      <c r="H34" s="2">
        <v>0</v>
      </c>
      <c r="I34" s="2">
        <v>0</v>
      </c>
      <c r="J34" s="1">
        <v>289071.38167088799</v>
      </c>
      <c r="K34" s="1">
        <v>289071.38167088799</v>
      </c>
      <c r="L34" s="1">
        <v>631906.748448072</v>
      </c>
      <c r="M34" s="1">
        <v>141877.63685665501</v>
      </c>
      <c r="N34" s="1">
        <v>289071.38167088799</v>
      </c>
      <c r="O34" s="1">
        <v>1062855.7669756101</v>
      </c>
    </row>
    <row r="35" spans="1:15" x14ac:dyDescent="0.25">
      <c r="A35" s="1" t="s">
        <v>46</v>
      </c>
      <c r="B35" t="s">
        <v>39</v>
      </c>
      <c r="C35" t="s">
        <v>9</v>
      </c>
      <c r="D35" s="2">
        <v>0</v>
      </c>
      <c r="E35" s="2">
        <v>0</v>
      </c>
      <c r="F35" s="1">
        <v>11310.602794953</v>
      </c>
      <c r="G35" s="1">
        <v>11310.602794953</v>
      </c>
      <c r="H35" s="1">
        <v>449161.75471356098</v>
      </c>
      <c r="I35" s="1">
        <v>42877.153503624002</v>
      </c>
      <c r="J35" s="2">
        <v>0</v>
      </c>
      <c r="K35" s="1">
        <v>492038.908217185</v>
      </c>
      <c r="L35" s="1">
        <v>449161.75471356098</v>
      </c>
      <c r="M35" s="1">
        <v>42877.153503624002</v>
      </c>
      <c r="N35" s="1">
        <v>11310.602794953</v>
      </c>
      <c r="O35" s="1">
        <v>503349.51101213798</v>
      </c>
    </row>
    <row r="36" spans="1:15" x14ac:dyDescent="0.25">
      <c r="A36" s="1" t="s">
        <v>46</v>
      </c>
      <c r="B36" t="s">
        <v>39</v>
      </c>
      <c r="C36" t="s">
        <v>10</v>
      </c>
      <c r="D36" s="2">
        <v>0</v>
      </c>
      <c r="E36" s="2">
        <v>0</v>
      </c>
      <c r="F36" s="1">
        <v>13472.2402920616</v>
      </c>
      <c r="G36" s="1">
        <v>13472.2402920616</v>
      </c>
      <c r="H36" s="1">
        <v>500089.850129764</v>
      </c>
      <c r="I36" s="1">
        <v>36479.118058909502</v>
      </c>
      <c r="J36" s="2">
        <v>0</v>
      </c>
      <c r="K36" s="1">
        <v>536568.96818867396</v>
      </c>
      <c r="L36" s="1">
        <v>500089.850129764</v>
      </c>
      <c r="M36" s="1">
        <v>36479.118058909502</v>
      </c>
      <c r="N36" s="1">
        <v>13472.2402920616</v>
      </c>
      <c r="O36" s="1">
        <v>550041.20848073496</v>
      </c>
    </row>
    <row r="37" spans="1:15" x14ac:dyDescent="0.25">
      <c r="A37" s="1" t="s">
        <v>46</v>
      </c>
      <c r="B37" t="s">
        <v>39</v>
      </c>
      <c r="C37" t="s">
        <v>11</v>
      </c>
      <c r="D37" s="2">
        <v>0</v>
      </c>
      <c r="E37" s="2">
        <v>0</v>
      </c>
      <c r="F37" s="1">
        <v>31721.2102724623</v>
      </c>
      <c r="G37" s="1">
        <v>31721.2102724623</v>
      </c>
      <c r="H37" s="1">
        <v>487959.90590734303</v>
      </c>
      <c r="I37" s="1">
        <v>26356.484476814701</v>
      </c>
      <c r="J37" s="2">
        <v>0</v>
      </c>
      <c r="K37" s="1">
        <v>514316.390384158</v>
      </c>
      <c r="L37" s="1">
        <v>487959.90590734303</v>
      </c>
      <c r="M37" s="1">
        <v>26356.484476814701</v>
      </c>
      <c r="N37" s="1">
        <v>31721.2102724623</v>
      </c>
      <c r="O37" s="1">
        <v>546037.60065662104</v>
      </c>
    </row>
    <row r="38" spans="1:15" x14ac:dyDescent="0.25">
      <c r="A38" s="1" t="s">
        <v>47</v>
      </c>
      <c r="B38" t="s">
        <v>36</v>
      </c>
      <c r="C38" t="s">
        <v>6</v>
      </c>
      <c r="D38" s="1">
        <f ca="1">D14-D8</f>
        <v>83.018940732988995</v>
      </c>
      <c r="E38" s="1">
        <f t="shared" ref="E38:O38" ca="1" si="0">E14-E8</f>
        <v>-9.3361926649959059</v>
      </c>
      <c r="F38" s="1">
        <f t="shared" ca="1" si="0"/>
        <v>0</v>
      </c>
      <c r="G38" s="1">
        <f t="shared" ca="1" si="0"/>
        <v>73.682748068007641</v>
      </c>
      <c r="H38" s="1">
        <f t="shared" ca="1" si="0"/>
        <v>0</v>
      </c>
      <c r="I38" s="1">
        <f t="shared" ca="1" si="0"/>
        <v>0</v>
      </c>
      <c r="J38" s="1">
        <f t="shared" ca="1" si="0"/>
        <v>17.205593101996783</v>
      </c>
      <c r="K38" s="1">
        <f t="shared" ca="1" si="0"/>
        <v>17.205593101996783</v>
      </c>
      <c r="L38" s="1">
        <f t="shared" ca="1" si="0"/>
        <v>83.018940732988995</v>
      </c>
      <c r="M38" s="1">
        <f t="shared" ca="1" si="0"/>
        <v>-9.3361926649959059</v>
      </c>
      <c r="N38" s="1">
        <f t="shared" ca="1" si="0"/>
        <v>17.205593101996783</v>
      </c>
      <c r="O38" s="1">
        <f t="shared" ca="1" si="0"/>
        <v>90.888341170037165</v>
      </c>
    </row>
    <row r="39" spans="1:15" x14ac:dyDescent="0.25">
      <c r="A39" s="1" t="s">
        <v>47</v>
      </c>
      <c r="B39" t="s">
        <v>36</v>
      </c>
      <c r="C39" t="s">
        <v>7</v>
      </c>
      <c r="D39" s="1">
        <f t="shared" ref="D39:O39" ca="1" si="1">D15-D9</f>
        <v>212.59944367408752</v>
      </c>
      <c r="E39" s="1">
        <f t="shared" ca="1" si="1"/>
        <v>-16.614335328005836</v>
      </c>
      <c r="F39" s="1">
        <f t="shared" ca="1" si="1"/>
        <v>0</v>
      </c>
      <c r="G39" s="1">
        <f t="shared" ca="1" si="1"/>
        <v>195.98510834597982</v>
      </c>
      <c r="H39" s="1">
        <f t="shared" ca="1" si="1"/>
        <v>0</v>
      </c>
      <c r="I39" s="1">
        <f t="shared" ca="1" si="1"/>
        <v>0</v>
      </c>
      <c r="J39" s="1">
        <f t="shared" ca="1" si="1"/>
        <v>28.965354494997882</v>
      </c>
      <c r="K39" s="1">
        <f t="shared" ca="1" si="1"/>
        <v>28.965354494997882</v>
      </c>
      <c r="L39" s="1">
        <f t="shared" ca="1" si="1"/>
        <v>212.59944367408752</v>
      </c>
      <c r="M39" s="1">
        <f t="shared" ca="1" si="1"/>
        <v>-16.614335328005836</v>
      </c>
      <c r="N39" s="1">
        <f t="shared" ca="1" si="1"/>
        <v>28.965354494997882</v>
      </c>
      <c r="O39" s="1">
        <f t="shared" ca="1" si="1"/>
        <v>224.95046284096316</v>
      </c>
    </row>
    <row r="40" spans="1:15" x14ac:dyDescent="0.25">
      <c r="A40" s="1" t="s">
        <v>47</v>
      </c>
      <c r="B40" t="s">
        <v>36</v>
      </c>
      <c r="C40" t="s">
        <v>8</v>
      </c>
      <c r="D40" s="1">
        <f t="shared" ref="D40:O40" ca="1" si="2">D16-D10</f>
        <v>920.77123626100365</v>
      </c>
      <c r="E40" s="1">
        <f t="shared" ca="1" si="2"/>
        <v>10.659390209009871</v>
      </c>
      <c r="F40" s="1">
        <f t="shared" ca="1" si="2"/>
        <v>0</v>
      </c>
      <c r="G40" s="1">
        <f t="shared" ca="1" si="2"/>
        <v>931.43062647001352</v>
      </c>
      <c r="H40" s="1">
        <f t="shared" ca="1" si="2"/>
        <v>0</v>
      </c>
      <c r="I40" s="1">
        <f t="shared" ca="1" si="2"/>
        <v>0</v>
      </c>
      <c r="J40" s="1">
        <f t="shared" ca="1" si="2"/>
        <v>529.13546895602485</v>
      </c>
      <c r="K40" s="1">
        <f t="shared" ca="1" si="2"/>
        <v>529.13546895602485</v>
      </c>
      <c r="L40" s="1">
        <f t="shared" ca="1" si="2"/>
        <v>920.77123626100365</v>
      </c>
      <c r="M40" s="1">
        <f t="shared" ca="1" si="2"/>
        <v>10.659390209009871</v>
      </c>
      <c r="N40" s="1">
        <f t="shared" ca="1" si="2"/>
        <v>529.13546895602485</v>
      </c>
      <c r="O40" s="1">
        <f t="shared" ca="1" si="2"/>
        <v>1460.5660954299383</v>
      </c>
    </row>
    <row r="41" spans="1:15" x14ac:dyDescent="0.25">
      <c r="A41" s="1" t="s">
        <v>47</v>
      </c>
      <c r="B41" t="s">
        <v>36</v>
      </c>
      <c r="C41" t="s">
        <v>9</v>
      </c>
      <c r="D41" s="1">
        <f t="shared" ref="D41:O41" ca="1" si="3">D17-D11</f>
        <v>0</v>
      </c>
      <c r="E41" s="1">
        <f t="shared" ca="1" si="3"/>
        <v>0</v>
      </c>
      <c r="F41" s="1">
        <f t="shared" ca="1" si="3"/>
        <v>0.23920942989934701</v>
      </c>
      <c r="G41" s="1">
        <f t="shared" ca="1" si="3"/>
        <v>0.23920942989934701</v>
      </c>
      <c r="H41" s="1">
        <f t="shared" ca="1" si="3"/>
        <v>54.703458517964464</v>
      </c>
      <c r="I41" s="1">
        <f t="shared" ca="1" si="3"/>
        <v>-20.800972336401173</v>
      </c>
      <c r="J41" s="1">
        <f t="shared" ca="1" si="3"/>
        <v>0</v>
      </c>
      <c r="K41" s="1">
        <f t="shared" ca="1" si="3"/>
        <v>33.902486181992572</v>
      </c>
      <c r="L41" s="1">
        <f t="shared" ca="1" si="3"/>
        <v>54.703458517964464</v>
      </c>
      <c r="M41" s="1">
        <f t="shared" ca="1" si="3"/>
        <v>-20.800972336401173</v>
      </c>
      <c r="N41" s="1">
        <f t="shared" ca="1" si="3"/>
        <v>0.23920942989934701</v>
      </c>
      <c r="O41" s="1">
        <f t="shared" ca="1" si="3"/>
        <v>34.141695611004252</v>
      </c>
    </row>
    <row r="42" spans="1:15" x14ac:dyDescent="0.25">
      <c r="A42" s="1" t="s">
        <v>47</v>
      </c>
      <c r="B42" t="s">
        <v>36</v>
      </c>
      <c r="C42" t="s">
        <v>10</v>
      </c>
      <c r="D42" s="1">
        <f t="shared" ref="D42:O42" ca="1" si="4">D18-D12</f>
        <v>0</v>
      </c>
      <c r="E42" s="1">
        <f t="shared" ca="1" si="4"/>
        <v>0</v>
      </c>
      <c r="F42" s="1">
        <f t="shared" ca="1" si="4"/>
        <v>1.931975725099619</v>
      </c>
      <c r="G42" s="1">
        <f t="shared" ca="1" si="4"/>
        <v>1.931975725099619</v>
      </c>
      <c r="H42" s="1">
        <f t="shared" ca="1" si="4"/>
        <v>449.93305467802566</v>
      </c>
      <c r="I42" s="1">
        <f t="shared" ca="1" si="4"/>
        <v>-61.33068047100096</v>
      </c>
      <c r="J42" s="1">
        <f t="shared" ca="1" si="4"/>
        <v>0</v>
      </c>
      <c r="K42" s="1">
        <f t="shared" ca="1" si="4"/>
        <v>388.60237420699559</v>
      </c>
      <c r="L42" s="1">
        <f t="shared" ca="1" si="4"/>
        <v>449.93305467802566</v>
      </c>
      <c r="M42" s="1">
        <f t="shared" ca="1" si="4"/>
        <v>-61.33068047100096</v>
      </c>
      <c r="N42" s="1">
        <f t="shared" ca="1" si="4"/>
        <v>1.931975725099619</v>
      </c>
      <c r="O42" s="1">
        <f t="shared" ca="1" si="4"/>
        <v>390.53434993303381</v>
      </c>
    </row>
    <row r="43" spans="1:15" x14ac:dyDescent="0.25">
      <c r="A43" s="1" t="s">
        <v>47</v>
      </c>
      <c r="B43" t="s">
        <v>36</v>
      </c>
      <c r="C43" t="s">
        <v>11</v>
      </c>
      <c r="D43" s="1">
        <f t="shared" ref="D43:O43" ca="1" si="5">D19-D13</f>
        <v>0</v>
      </c>
      <c r="E43" s="1">
        <f t="shared" ca="1" si="5"/>
        <v>0</v>
      </c>
      <c r="F43" s="1">
        <f t="shared" ca="1" si="5"/>
        <v>32.081831925999722</v>
      </c>
      <c r="G43" s="1">
        <f t="shared" ca="1" si="5"/>
        <v>32.081831925999722</v>
      </c>
      <c r="H43" s="1">
        <f t="shared" ca="1" si="5"/>
        <v>923.80871695297537</v>
      </c>
      <c r="I43" s="1">
        <f t="shared" ca="1" si="5"/>
        <v>-84.261130047401821</v>
      </c>
      <c r="J43" s="1">
        <f t="shared" ca="1" si="5"/>
        <v>0</v>
      </c>
      <c r="K43" s="1">
        <f t="shared" ca="1" si="5"/>
        <v>839.5475869049551</v>
      </c>
      <c r="L43" s="1">
        <f t="shared" ca="1" si="5"/>
        <v>923.80871695297537</v>
      </c>
      <c r="M43" s="1">
        <f t="shared" ca="1" si="5"/>
        <v>-84.261130047401821</v>
      </c>
      <c r="N43" s="1">
        <f t="shared" ca="1" si="5"/>
        <v>32.081831925999722</v>
      </c>
      <c r="O43" s="1">
        <f t="shared" ca="1" si="5"/>
        <v>871.62941883096937</v>
      </c>
    </row>
    <row r="44" spans="1:15" x14ac:dyDescent="0.25">
      <c r="A44" s="1" t="s">
        <v>47</v>
      </c>
      <c r="B44" t="s">
        <v>37</v>
      </c>
      <c r="C44" t="s">
        <v>6</v>
      </c>
      <c r="D44" s="1">
        <f t="shared" ref="D44:O44" ca="1" si="6">D20-D14</f>
        <v>-1287.8532509569777</v>
      </c>
      <c r="E44" s="1">
        <f t="shared" ca="1" si="6"/>
        <v>137.19027126100264</v>
      </c>
      <c r="F44" s="1">
        <f t="shared" ca="1" si="6"/>
        <v>0</v>
      </c>
      <c r="G44" s="1">
        <f t="shared" ca="1" si="6"/>
        <v>-1150.6629796960624</v>
      </c>
      <c r="H44" s="1">
        <f t="shared" ca="1" si="6"/>
        <v>0</v>
      </c>
      <c r="I44" s="1">
        <f t="shared" ca="1" si="6"/>
        <v>0</v>
      </c>
      <c r="J44" s="1">
        <f t="shared" ca="1" si="6"/>
        <v>-40.009764664697286</v>
      </c>
      <c r="K44" s="1">
        <f t="shared" ca="1" si="6"/>
        <v>-40.009764664697286</v>
      </c>
      <c r="L44" s="1">
        <f t="shared" ca="1" si="6"/>
        <v>-1287.8532509569777</v>
      </c>
      <c r="M44" s="1">
        <f t="shared" ca="1" si="6"/>
        <v>137.19027126100264</v>
      </c>
      <c r="N44" s="1">
        <f t="shared" ca="1" si="6"/>
        <v>-40.009764664697286</v>
      </c>
      <c r="O44" s="1">
        <f t="shared" ca="1" si="6"/>
        <v>-1190.6727443609852</v>
      </c>
    </row>
    <row r="45" spans="1:15" x14ac:dyDescent="0.25">
      <c r="A45" s="1" t="s">
        <v>47</v>
      </c>
      <c r="B45" t="s">
        <v>37</v>
      </c>
      <c r="C45" t="s">
        <v>7</v>
      </c>
      <c r="D45" s="1">
        <f t="shared" ref="D45:O45" ca="1" si="7">D21-D15</f>
        <v>-1152.5258056820603</v>
      </c>
      <c r="E45" s="1">
        <f t="shared" ca="1" si="7"/>
        <v>29.071293449000223</v>
      </c>
      <c r="F45" s="1">
        <f t="shared" ca="1" si="7"/>
        <v>0</v>
      </c>
      <c r="G45" s="1">
        <f t="shared" ca="1" si="7"/>
        <v>-1123.454512233031</v>
      </c>
      <c r="H45" s="1">
        <f t="shared" ca="1" si="7"/>
        <v>0</v>
      </c>
      <c r="I45" s="1">
        <f t="shared" ca="1" si="7"/>
        <v>0</v>
      </c>
      <c r="J45" s="1">
        <f t="shared" ca="1" si="7"/>
        <v>-134.71741968199785</v>
      </c>
      <c r="K45" s="1">
        <f t="shared" ca="1" si="7"/>
        <v>-134.71741968199785</v>
      </c>
      <c r="L45" s="1">
        <f t="shared" ca="1" si="7"/>
        <v>-1152.5258056820603</v>
      </c>
      <c r="M45" s="1">
        <f t="shared" ca="1" si="7"/>
        <v>29.071293449000223</v>
      </c>
      <c r="N45" s="1">
        <f t="shared" ca="1" si="7"/>
        <v>-134.71741968199785</v>
      </c>
      <c r="O45" s="1">
        <f t="shared" ca="1" si="7"/>
        <v>-1258.1719319149852</v>
      </c>
    </row>
    <row r="46" spans="1:15" x14ac:dyDescent="0.25">
      <c r="A46" s="1" t="s">
        <v>47</v>
      </c>
      <c r="B46" t="s">
        <v>37</v>
      </c>
      <c r="C46" t="s">
        <v>8</v>
      </c>
      <c r="D46" s="1">
        <f t="shared" ref="D46:O46" ca="1" si="8">D22-D16</f>
        <v>-1110.5706630951026</v>
      </c>
      <c r="E46" s="1">
        <f t="shared" ca="1" si="8"/>
        <v>-107.21729045800748</v>
      </c>
      <c r="F46" s="1">
        <f t="shared" ca="1" si="8"/>
        <v>0</v>
      </c>
      <c r="G46" s="1">
        <f t="shared" ca="1" si="8"/>
        <v>-1217.7879535530228</v>
      </c>
      <c r="H46" s="1">
        <f t="shared" ca="1" si="8"/>
        <v>0</v>
      </c>
      <c r="I46" s="1">
        <f t="shared" ca="1" si="8"/>
        <v>0</v>
      </c>
      <c r="J46" s="1">
        <f t="shared" ca="1" si="8"/>
        <v>-476.65626238804543</v>
      </c>
      <c r="K46" s="1">
        <f t="shared" ca="1" si="8"/>
        <v>-476.65626238804543</v>
      </c>
      <c r="L46" s="1">
        <f t="shared" ca="1" si="8"/>
        <v>-1110.5706630951026</v>
      </c>
      <c r="M46" s="1">
        <f t="shared" ca="1" si="8"/>
        <v>-107.21729045800748</v>
      </c>
      <c r="N46" s="1">
        <f t="shared" ca="1" si="8"/>
        <v>-476.65626238804543</v>
      </c>
      <c r="O46" s="1">
        <f t="shared" ca="1" si="8"/>
        <v>-1694.4442159398459</v>
      </c>
    </row>
    <row r="47" spans="1:15" x14ac:dyDescent="0.25">
      <c r="A47" s="1" t="s">
        <v>47</v>
      </c>
      <c r="B47" t="s">
        <v>37</v>
      </c>
      <c r="C47" t="s">
        <v>9</v>
      </c>
      <c r="D47" s="1">
        <f t="shared" ref="D47:O47" ca="1" si="9">D23-D17</f>
        <v>0</v>
      </c>
      <c r="E47" s="1">
        <f t="shared" ca="1" si="9"/>
        <v>0</v>
      </c>
      <c r="F47" s="1">
        <f t="shared" ca="1" si="9"/>
        <v>-11.558947632000127</v>
      </c>
      <c r="G47" s="1">
        <f t="shared" ca="1" si="9"/>
        <v>-11.558947632000127</v>
      </c>
      <c r="H47" s="1">
        <f t="shared" ca="1" si="9"/>
        <v>-987.59397825895576</v>
      </c>
      <c r="I47" s="1">
        <f t="shared" ca="1" si="9"/>
        <v>49.199142497302091</v>
      </c>
      <c r="J47" s="1">
        <f t="shared" ca="1" si="9"/>
        <v>0</v>
      </c>
      <c r="K47" s="1">
        <f t="shared" ca="1" si="9"/>
        <v>-938.39483576198108</v>
      </c>
      <c r="L47" s="1">
        <f t="shared" ca="1" si="9"/>
        <v>-987.59397825895576</v>
      </c>
      <c r="M47" s="1">
        <f t="shared" ca="1" si="9"/>
        <v>49.199142497302091</v>
      </c>
      <c r="N47" s="1">
        <f t="shared" ca="1" si="9"/>
        <v>-11.558947632000127</v>
      </c>
      <c r="O47" s="1">
        <f t="shared" ca="1" si="9"/>
        <v>-949.95378339401213</v>
      </c>
    </row>
    <row r="48" spans="1:15" x14ac:dyDescent="0.25">
      <c r="A48" s="1" t="s">
        <v>47</v>
      </c>
      <c r="B48" t="s">
        <v>37</v>
      </c>
      <c r="C48" t="s">
        <v>10</v>
      </c>
      <c r="D48" s="1">
        <f t="shared" ref="D48:O48" ca="1" si="10">D24-D18</f>
        <v>0</v>
      </c>
      <c r="E48" s="1">
        <f t="shared" ca="1" si="10"/>
        <v>0</v>
      </c>
      <c r="F48" s="1">
        <f t="shared" ca="1" si="10"/>
        <v>-16.686211976099003</v>
      </c>
      <c r="G48" s="1">
        <f t="shared" ca="1" si="10"/>
        <v>-16.686211976099003</v>
      </c>
      <c r="H48" s="1">
        <f t="shared" ca="1" si="10"/>
        <v>-998.26933662703959</v>
      </c>
      <c r="I48" s="1">
        <f t="shared" ca="1" si="10"/>
        <v>24.362134830604191</v>
      </c>
      <c r="J48" s="1">
        <f t="shared" ca="1" si="10"/>
        <v>0</v>
      </c>
      <c r="K48" s="1">
        <f t="shared" ca="1" si="10"/>
        <v>-973.9072017960716</v>
      </c>
      <c r="L48" s="1">
        <f t="shared" ca="1" si="10"/>
        <v>-998.26933662703959</v>
      </c>
      <c r="M48" s="1">
        <f t="shared" ca="1" si="10"/>
        <v>24.362134830604191</v>
      </c>
      <c r="N48" s="1">
        <f t="shared" ca="1" si="10"/>
        <v>-16.686211976099003</v>
      </c>
      <c r="O48" s="1">
        <f t="shared" ca="1" si="10"/>
        <v>-990.59341377299279</v>
      </c>
    </row>
    <row r="49" spans="1:15" x14ac:dyDescent="0.25">
      <c r="A49" s="1" t="s">
        <v>47</v>
      </c>
      <c r="B49" t="s">
        <v>37</v>
      </c>
      <c r="C49" t="s">
        <v>11</v>
      </c>
      <c r="D49" s="1">
        <f t="shared" ref="D49:O49" ca="1" si="11">D25-D19</f>
        <v>0</v>
      </c>
      <c r="E49" s="1">
        <f t="shared" ca="1" si="11"/>
        <v>0</v>
      </c>
      <c r="F49" s="1">
        <f t="shared" ca="1" si="11"/>
        <v>-44.711932121699647</v>
      </c>
      <c r="G49" s="1">
        <f t="shared" ca="1" si="11"/>
        <v>-44.711932121699647</v>
      </c>
      <c r="H49" s="1">
        <f t="shared" ca="1" si="11"/>
        <v>-910.97174911201</v>
      </c>
      <c r="I49" s="1">
        <f t="shared" ca="1" si="11"/>
        <v>7.9301160773029551</v>
      </c>
      <c r="J49" s="1">
        <f t="shared" ca="1" si="11"/>
        <v>0</v>
      </c>
      <c r="K49" s="1">
        <f t="shared" ca="1" si="11"/>
        <v>-903.04163303395035</v>
      </c>
      <c r="L49" s="1">
        <f t="shared" ca="1" si="11"/>
        <v>-910.97174911201</v>
      </c>
      <c r="M49" s="1">
        <f t="shared" ca="1" si="11"/>
        <v>7.9301160773029551</v>
      </c>
      <c r="N49" s="1">
        <f t="shared" ca="1" si="11"/>
        <v>-44.711932121699647</v>
      </c>
      <c r="O49" s="1">
        <f t="shared" ca="1" si="11"/>
        <v>-947.75356515590101</v>
      </c>
    </row>
    <row r="50" spans="1:15" x14ac:dyDescent="0.25">
      <c r="A50" s="1" t="s">
        <v>47</v>
      </c>
      <c r="B50" t="s">
        <v>38</v>
      </c>
      <c r="C50" t="s">
        <v>6</v>
      </c>
      <c r="D50" s="1">
        <f t="shared" ref="D50:O50" ca="1" si="12">D26-D20</f>
        <v>4811.7752412909758</v>
      </c>
      <c r="E50" s="1">
        <f t="shared" ca="1" si="12"/>
        <v>-3515.7906675510021</v>
      </c>
      <c r="F50" s="1">
        <f t="shared" ca="1" si="12"/>
        <v>0</v>
      </c>
      <c r="G50" s="1">
        <f t="shared" ca="1" si="12"/>
        <v>1295.9845737400465</v>
      </c>
      <c r="H50" s="1">
        <f t="shared" ca="1" si="12"/>
        <v>0</v>
      </c>
      <c r="I50" s="1">
        <f t="shared" ca="1" si="12"/>
        <v>0</v>
      </c>
      <c r="J50" s="1">
        <f t="shared" ca="1" si="12"/>
        <v>-6.7109883065022586</v>
      </c>
      <c r="K50" s="1">
        <f t="shared" ca="1" si="12"/>
        <v>-6.7109883065022586</v>
      </c>
      <c r="L50" s="1">
        <f t="shared" ca="1" si="12"/>
        <v>4811.7752412909758</v>
      </c>
      <c r="M50" s="1">
        <f t="shared" ca="1" si="12"/>
        <v>-3515.7906675510021</v>
      </c>
      <c r="N50" s="1">
        <f t="shared" ca="1" si="12"/>
        <v>-6.7109883065022586</v>
      </c>
      <c r="O50" s="1">
        <f t="shared" ca="1" si="12"/>
        <v>1289.2735854339553</v>
      </c>
    </row>
    <row r="51" spans="1:15" x14ac:dyDescent="0.25">
      <c r="A51" s="1" t="s">
        <v>47</v>
      </c>
      <c r="B51" t="s">
        <v>38</v>
      </c>
      <c r="C51" t="s">
        <v>7</v>
      </c>
      <c r="D51" s="1">
        <f t="shared" ref="D51:O51" ca="1" si="13">D27-D21</f>
        <v>9474.9544394980185</v>
      </c>
      <c r="E51" s="1">
        <f t="shared" ca="1" si="13"/>
        <v>-5583.680859199987</v>
      </c>
      <c r="F51" s="1">
        <f t="shared" ca="1" si="13"/>
        <v>0</v>
      </c>
      <c r="G51" s="1">
        <f t="shared" ca="1" si="13"/>
        <v>3891.2735802980606</v>
      </c>
      <c r="H51" s="1">
        <f t="shared" ca="1" si="13"/>
        <v>0</v>
      </c>
      <c r="I51" s="1">
        <f t="shared" ca="1" si="13"/>
        <v>0</v>
      </c>
      <c r="J51" s="1">
        <f t="shared" ca="1" si="13"/>
        <v>-2.8915350449969992</v>
      </c>
      <c r="K51" s="1">
        <f t="shared" ca="1" si="13"/>
        <v>-2.8915350449969992</v>
      </c>
      <c r="L51" s="1">
        <f t="shared" ca="1" si="13"/>
        <v>9474.9544394980185</v>
      </c>
      <c r="M51" s="1">
        <f t="shared" ca="1" si="13"/>
        <v>-5583.680859199987</v>
      </c>
      <c r="N51" s="1">
        <f t="shared" ca="1" si="13"/>
        <v>-2.8915350449969992</v>
      </c>
      <c r="O51" s="1">
        <f t="shared" ca="1" si="13"/>
        <v>3888.3820452529471</v>
      </c>
    </row>
    <row r="52" spans="1:15" x14ac:dyDescent="0.25">
      <c r="A52" s="1" t="s">
        <v>47</v>
      </c>
      <c r="B52" t="s">
        <v>38</v>
      </c>
      <c r="C52" t="s">
        <v>8</v>
      </c>
      <c r="D52" s="1">
        <f t="shared" ref="D52:O52" ca="1" si="14">D28-D22</f>
        <v>19280.106747101061</v>
      </c>
      <c r="E52" s="1">
        <f t="shared" ca="1" si="14"/>
        <v>-8823.181250914</v>
      </c>
      <c r="F52" s="1">
        <f t="shared" ca="1" si="14"/>
        <v>0</v>
      </c>
      <c r="G52" s="1">
        <f t="shared" ca="1" si="14"/>
        <v>10456.925496187061</v>
      </c>
      <c r="H52" s="1">
        <f t="shared" ca="1" si="14"/>
        <v>0</v>
      </c>
      <c r="I52" s="1">
        <f t="shared" ca="1" si="14"/>
        <v>0</v>
      </c>
      <c r="J52" s="1">
        <f t="shared" ca="1" si="14"/>
        <v>-209.49448580399621</v>
      </c>
      <c r="K52" s="1">
        <f t="shared" ca="1" si="14"/>
        <v>-209.49448580399621</v>
      </c>
      <c r="L52" s="1">
        <f t="shared" ca="1" si="14"/>
        <v>19280.106747101061</v>
      </c>
      <c r="M52" s="1">
        <f t="shared" ca="1" si="14"/>
        <v>-8823.181250914</v>
      </c>
      <c r="N52" s="1">
        <f t="shared" ca="1" si="14"/>
        <v>-209.49448580399621</v>
      </c>
      <c r="O52" s="1">
        <f t="shared" ca="1" si="14"/>
        <v>10247.431010379922</v>
      </c>
    </row>
    <row r="53" spans="1:15" x14ac:dyDescent="0.25">
      <c r="A53" s="1" t="s">
        <v>47</v>
      </c>
      <c r="B53" t="s">
        <v>38</v>
      </c>
      <c r="C53" t="s">
        <v>9</v>
      </c>
      <c r="D53" s="1">
        <f t="shared" ref="D53:O53" ca="1" si="15">D29-D23</f>
        <v>0</v>
      </c>
      <c r="E53" s="1">
        <f t="shared" ca="1" si="15"/>
        <v>0</v>
      </c>
      <c r="F53" s="1">
        <f t="shared" ca="1" si="15"/>
        <v>40.552300114799436</v>
      </c>
      <c r="G53" s="1">
        <f t="shared" ca="1" si="15"/>
        <v>40.552300114799436</v>
      </c>
      <c r="H53" s="1">
        <f t="shared" ca="1" si="15"/>
        <v>124.5219765729853</v>
      </c>
      <c r="I53" s="1">
        <f t="shared" ca="1" si="15"/>
        <v>-84.57602046210377</v>
      </c>
      <c r="J53" s="1">
        <f t="shared" ca="1" si="15"/>
        <v>0</v>
      </c>
      <c r="K53" s="1">
        <f t="shared" ca="1" si="15"/>
        <v>39.945956111012492</v>
      </c>
      <c r="L53" s="1">
        <f t="shared" ca="1" si="15"/>
        <v>124.5219765729853</v>
      </c>
      <c r="M53" s="1">
        <f t="shared" ca="1" si="15"/>
        <v>-84.57602046210377</v>
      </c>
      <c r="N53" s="1">
        <f t="shared" ca="1" si="15"/>
        <v>40.552300114799436</v>
      </c>
      <c r="O53" s="1">
        <f t="shared" ca="1" si="15"/>
        <v>80.498256226012018</v>
      </c>
    </row>
    <row r="54" spans="1:15" x14ac:dyDescent="0.25">
      <c r="A54" s="1" t="s">
        <v>47</v>
      </c>
      <c r="B54" t="s">
        <v>38</v>
      </c>
      <c r="C54" t="s">
        <v>10</v>
      </c>
      <c r="D54" s="1">
        <f t="shared" ref="D54:O54" ca="1" si="16">D30-D24</f>
        <v>0</v>
      </c>
      <c r="E54" s="1">
        <f t="shared" ca="1" si="16"/>
        <v>0</v>
      </c>
      <c r="F54" s="1">
        <f t="shared" ca="1" si="16"/>
        <v>122.97542671849988</v>
      </c>
      <c r="G54" s="1">
        <f t="shared" ca="1" si="16"/>
        <v>122.97542671849988</v>
      </c>
      <c r="H54" s="1">
        <f t="shared" ca="1" si="16"/>
        <v>-136.829367437982</v>
      </c>
      <c r="I54" s="1">
        <f t="shared" ca="1" si="16"/>
        <v>533.07885361559602</v>
      </c>
      <c r="J54" s="1">
        <f t="shared" ca="1" si="16"/>
        <v>0</v>
      </c>
      <c r="K54" s="1">
        <f t="shared" ca="1" si="16"/>
        <v>396.24948617699556</v>
      </c>
      <c r="L54" s="1">
        <f t="shared" ca="1" si="16"/>
        <v>-136.829367437982</v>
      </c>
      <c r="M54" s="1">
        <f t="shared" ca="1" si="16"/>
        <v>533.07885361559602</v>
      </c>
      <c r="N54" s="1">
        <f t="shared" ca="1" si="16"/>
        <v>122.97542671849988</v>
      </c>
      <c r="O54" s="1">
        <f t="shared" ca="1" si="16"/>
        <v>519.22491289593745</v>
      </c>
    </row>
    <row r="55" spans="1:15" x14ac:dyDescent="0.25">
      <c r="A55" s="1" t="s">
        <v>47</v>
      </c>
      <c r="B55" t="s">
        <v>38</v>
      </c>
      <c r="C55" t="s">
        <v>11</v>
      </c>
      <c r="D55" s="1">
        <f t="shared" ref="D55:O55" ca="1" si="17">D31-D25</f>
        <v>0</v>
      </c>
      <c r="E55" s="1">
        <f t="shared" ca="1" si="17"/>
        <v>0</v>
      </c>
      <c r="F55" s="1">
        <f t="shared" ca="1" si="17"/>
        <v>851.86063293550251</v>
      </c>
      <c r="G55" s="1">
        <f t="shared" ca="1" si="17"/>
        <v>851.86063293550251</v>
      </c>
      <c r="H55" s="1">
        <f t="shared" ca="1" si="17"/>
        <v>-330.07019767398015</v>
      </c>
      <c r="I55" s="1">
        <f t="shared" ca="1" si="17"/>
        <v>960.00375030509895</v>
      </c>
      <c r="J55" s="1">
        <f t="shared" ca="1" si="17"/>
        <v>0</v>
      </c>
      <c r="K55" s="1">
        <f t="shared" ca="1" si="17"/>
        <v>629.93355263094418</v>
      </c>
      <c r="L55" s="1">
        <f t="shared" ca="1" si="17"/>
        <v>-330.07019767398015</v>
      </c>
      <c r="M55" s="1">
        <f t="shared" ca="1" si="17"/>
        <v>960.00375030509895</v>
      </c>
      <c r="N55" s="1">
        <f t="shared" ca="1" si="17"/>
        <v>851.86063293550251</v>
      </c>
      <c r="O55" s="1">
        <f t="shared" ca="1" si="17"/>
        <v>1481.7941855669487</v>
      </c>
    </row>
    <row r="56" spans="1:15" x14ac:dyDescent="0.25">
      <c r="A56" s="1" t="s">
        <v>47</v>
      </c>
      <c r="B56" t="s">
        <v>39</v>
      </c>
      <c r="C56" t="s">
        <v>6</v>
      </c>
      <c r="D56" s="1">
        <f t="shared" ref="D56:O56" ca="1" si="18">D32-D26</f>
        <v>-731.95732467097696</v>
      </c>
      <c r="E56" s="1">
        <f t="shared" ca="1" si="18"/>
        <v>375.54208560699772</v>
      </c>
      <c r="F56" s="1">
        <f t="shared" ca="1" si="18"/>
        <v>0</v>
      </c>
      <c r="G56" s="1">
        <f t="shared" ca="1" si="18"/>
        <v>-356.4152390640229</v>
      </c>
      <c r="H56" s="1">
        <f t="shared" ca="1" si="18"/>
        <v>0</v>
      </c>
      <c r="I56" s="1">
        <f t="shared" ca="1" si="18"/>
        <v>0</v>
      </c>
      <c r="J56" s="1">
        <f t="shared" ca="1" si="18"/>
        <v>-14.353375225597119</v>
      </c>
      <c r="K56" s="1">
        <f t="shared" ca="1" si="18"/>
        <v>-14.353375225597119</v>
      </c>
      <c r="L56" s="1">
        <f t="shared" ca="1" si="18"/>
        <v>-731.95732467097696</v>
      </c>
      <c r="M56" s="1">
        <f t="shared" ca="1" si="18"/>
        <v>375.54208560699772</v>
      </c>
      <c r="N56" s="1">
        <f t="shared" ca="1" si="18"/>
        <v>-14.353375225597119</v>
      </c>
      <c r="O56" s="1">
        <f t="shared" ca="1" si="18"/>
        <v>-370.7686142900493</v>
      </c>
    </row>
    <row r="57" spans="1:15" x14ac:dyDescent="0.25">
      <c r="A57" s="1" t="s">
        <v>47</v>
      </c>
      <c r="B57" t="s">
        <v>39</v>
      </c>
      <c r="C57" t="s">
        <v>7</v>
      </c>
      <c r="D57" s="1">
        <f t="shared" ref="D57:O57" ca="1" si="19">D33-D27</f>
        <v>-1693.8050879640505</v>
      </c>
      <c r="E57" s="1">
        <f t="shared" ca="1" si="19"/>
        <v>817.72115472599398</v>
      </c>
      <c r="F57" s="1">
        <f t="shared" ca="1" si="19"/>
        <v>0</v>
      </c>
      <c r="G57" s="1">
        <f t="shared" ca="1" si="19"/>
        <v>-876.08393323805649</v>
      </c>
      <c r="H57" s="1">
        <f t="shared" ca="1" si="19"/>
        <v>0</v>
      </c>
      <c r="I57" s="1">
        <f t="shared" ca="1" si="19"/>
        <v>0</v>
      </c>
      <c r="J57" s="1">
        <f t="shared" ca="1" si="19"/>
        <v>-22.654396349011222</v>
      </c>
      <c r="K57" s="1">
        <f t="shared" ca="1" si="19"/>
        <v>-22.654396349011222</v>
      </c>
      <c r="L57" s="1">
        <f t="shared" ca="1" si="19"/>
        <v>-1693.8050879640505</v>
      </c>
      <c r="M57" s="1">
        <f t="shared" ca="1" si="19"/>
        <v>817.72115472599398</v>
      </c>
      <c r="N57" s="1">
        <f t="shared" ca="1" si="19"/>
        <v>-22.654396349011222</v>
      </c>
      <c r="O57" s="1">
        <f t="shared" ca="1" si="19"/>
        <v>-898.73832958599087</v>
      </c>
    </row>
    <row r="58" spans="1:15" x14ac:dyDescent="0.25">
      <c r="A58" s="1" t="s">
        <v>47</v>
      </c>
      <c r="B58" t="s">
        <v>39</v>
      </c>
      <c r="C58" t="s">
        <v>8</v>
      </c>
      <c r="D58" s="1">
        <f t="shared" ref="D58:O58" ca="1" si="20">D34-D28</f>
        <v>-4849.9321248210035</v>
      </c>
      <c r="E58" s="1">
        <f t="shared" ca="1" si="20"/>
        <v>1662.2965487640176</v>
      </c>
      <c r="F58" s="1">
        <f t="shared" ca="1" si="20"/>
        <v>0</v>
      </c>
      <c r="G58" s="1">
        <f t="shared" ca="1" si="20"/>
        <v>-3187.635576057015</v>
      </c>
      <c r="H58" s="1">
        <f t="shared" ca="1" si="20"/>
        <v>0</v>
      </c>
      <c r="I58" s="1">
        <f t="shared" ca="1" si="20"/>
        <v>0</v>
      </c>
      <c r="J58" s="1">
        <f t="shared" ca="1" si="20"/>
        <v>-483.89276017999509</v>
      </c>
      <c r="K58" s="1">
        <f t="shared" ca="1" si="20"/>
        <v>-483.89276017999509</v>
      </c>
      <c r="L58" s="1">
        <f t="shared" ca="1" si="20"/>
        <v>-4849.9321248210035</v>
      </c>
      <c r="M58" s="1">
        <f t="shared" ca="1" si="20"/>
        <v>1662.2965487640176</v>
      </c>
      <c r="N58" s="1">
        <f t="shared" ca="1" si="20"/>
        <v>-483.89276017999509</v>
      </c>
      <c r="O58" s="1">
        <f t="shared" ca="1" si="20"/>
        <v>-3671.5283362399787</v>
      </c>
    </row>
    <row r="59" spans="1:15" x14ac:dyDescent="0.25">
      <c r="A59" s="1" t="s">
        <v>47</v>
      </c>
      <c r="B59" t="s">
        <v>39</v>
      </c>
      <c r="C59" t="s">
        <v>9</v>
      </c>
      <c r="D59" s="1">
        <f t="shared" ref="D59:O59" ca="1" si="21">D35-D29</f>
        <v>0</v>
      </c>
      <c r="E59" s="1">
        <f t="shared" ca="1" si="21"/>
        <v>0</v>
      </c>
      <c r="F59" s="1">
        <f t="shared" ca="1" si="21"/>
        <v>-2.8180879092997202</v>
      </c>
      <c r="G59" s="1">
        <f t="shared" ca="1" si="21"/>
        <v>-2.8180879092997202</v>
      </c>
      <c r="H59" s="1">
        <f t="shared" ca="1" si="21"/>
        <v>-40.201697254029568</v>
      </c>
      <c r="I59" s="1">
        <f t="shared" ca="1" si="21"/>
        <v>-6.4702419586974429</v>
      </c>
      <c r="J59" s="1">
        <f t="shared" ca="1" si="21"/>
        <v>0</v>
      </c>
      <c r="K59" s="1">
        <f t="shared" ca="1" si="21"/>
        <v>-46.671939213003498</v>
      </c>
      <c r="L59" s="1">
        <f t="shared" ca="1" si="21"/>
        <v>-40.201697254029568</v>
      </c>
      <c r="M59" s="1">
        <f t="shared" ca="1" si="21"/>
        <v>-6.4702419586974429</v>
      </c>
      <c r="N59" s="1">
        <f t="shared" ca="1" si="21"/>
        <v>-2.8180879092997202</v>
      </c>
      <c r="O59" s="1">
        <f t="shared" ca="1" si="21"/>
        <v>-49.490027122024912</v>
      </c>
    </row>
    <row r="60" spans="1:15" x14ac:dyDescent="0.25">
      <c r="A60" s="1" t="s">
        <v>47</v>
      </c>
      <c r="B60" t="s">
        <v>39</v>
      </c>
      <c r="C60" t="s">
        <v>10</v>
      </c>
      <c r="D60" s="1">
        <f t="shared" ref="D60:O60" ca="1" si="22">D36-D30</f>
        <v>0</v>
      </c>
      <c r="E60" s="1">
        <f t="shared" ca="1" si="22"/>
        <v>0</v>
      </c>
      <c r="F60" s="1">
        <f t="shared" ca="1" si="22"/>
        <v>-17.952080131999537</v>
      </c>
      <c r="G60" s="1">
        <f t="shared" ca="1" si="22"/>
        <v>-17.952080131999537</v>
      </c>
      <c r="H60" s="1">
        <f t="shared" ca="1" si="22"/>
        <v>-404.30963478400372</v>
      </c>
      <c r="I60" s="1">
        <f t="shared" ca="1" si="22"/>
        <v>-40.516606941797363</v>
      </c>
      <c r="J60" s="1">
        <f t="shared" ca="1" si="22"/>
        <v>0</v>
      </c>
      <c r="K60" s="1">
        <f t="shared" ca="1" si="22"/>
        <v>-444.826241725008</v>
      </c>
      <c r="L60" s="1">
        <f t="shared" ca="1" si="22"/>
        <v>-404.30963478400372</v>
      </c>
      <c r="M60" s="1">
        <f t="shared" ca="1" si="22"/>
        <v>-40.516606941797363</v>
      </c>
      <c r="N60" s="1">
        <f t="shared" ca="1" si="22"/>
        <v>-17.952080131999537</v>
      </c>
      <c r="O60" s="1">
        <f t="shared" ca="1" si="22"/>
        <v>-462.77832185802981</v>
      </c>
    </row>
    <row r="61" spans="1:15" x14ac:dyDescent="0.25">
      <c r="A61" s="1" t="s">
        <v>47</v>
      </c>
      <c r="B61" t="s">
        <v>39</v>
      </c>
      <c r="C61" t="s">
        <v>11</v>
      </c>
      <c r="D61" s="1">
        <f t="shared" ref="D61:O61" ca="1" si="23">D37-D31</f>
        <v>0</v>
      </c>
      <c r="E61" s="1">
        <f t="shared" ca="1" si="23"/>
        <v>0</v>
      </c>
      <c r="F61" s="1">
        <f t="shared" ca="1" si="23"/>
        <v>-193.96758889660123</v>
      </c>
      <c r="G61" s="1">
        <f t="shared" ca="1" si="23"/>
        <v>-193.96758889660123</v>
      </c>
      <c r="H61" s="1">
        <f t="shared" ca="1" si="23"/>
        <v>-854.82141212798888</v>
      </c>
      <c r="I61" s="1">
        <f t="shared" ca="1" si="23"/>
        <v>-86.20458940539902</v>
      </c>
      <c r="J61" s="1">
        <f t="shared" ca="1" si="23"/>
        <v>0</v>
      </c>
      <c r="K61" s="1">
        <f t="shared" ca="1" si="23"/>
        <v>-941.02600153296953</v>
      </c>
      <c r="L61" s="1">
        <f t="shared" ca="1" si="23"/>
        <v>-854.82141212798888</v>
      </c>
      <c r="M61" s="1">
        <f t="shared" ca="1" si="23"/>
        <v>-86.20458940539902</v>
      </c>
      <c r="N61" s="1">
        <f t="shared" ca="1" si="23"/>
        <v>-193.96758889660123</v>
      </c>
      <c r="O61" s="1">
        <f t="shared" ca="1" si="23"/>
        <v>-1134.9935904289596</v>
      </c>
    </row>
    <row r="62" spans="1:15" x14ac:dyDescent="0.25">
      <c r="A62" s="1" t="s">
        <v>48</v>
      </c>
      <c r="B62" t="s">
        <v>36</v>
      </c>
      <c r="C62" t="s">
        <v>6</v>
      </c>
      <c r="D62" s="14">
        <f ca="1">IF(D8 = 0, 0, D38/D8)</f>
        <v>1.6135464110711903E-4</v>
      </c>
      <c r="E62" s="14">
        <f t="shared" ref="E62:O62" ca="1" si="24">IF(E8 = 0, 0, E38/E8)</f>
        <v>-7.4939463559738943E-5</v>
      </c>
      <c r="F62" s="14">
        <f t="shared" ca="1" si="24"/>
        <v>0</v>
      </c>
      <c r="G62" s="14">
        <f t="shared" ca="1" si="24"/>
        <v>1.1529225505571288E-4</v>
      </c>
      <c r="H62" s="14">
        <f t="shared" ca="1" si="24"/>
        <v>0</v>
      </c>
      <c r="I62" s="14">
        <f t="shared" ca="1" si="24"/>
        <v>0</v>
      </c>
      <c r="J62" s="14">
        <f t="shared" ca="1" si="24"/>
        <v>5.5999762329587402E-4</v>
      </c>
      <c r="K62" s="14">
        <f t="shared" ca="1" si="24"/>
        <v>5.5999762329587402E-4</v>
      </c>
      <c r="L62" s="14">
        <f t="shared" ca="1" si="24"/>
        <v>1.6135464110711903E-4</v>
      </c>
      <c r="M62" s="14">
        <f t="shared" ca="1" si="24"/>
        <v>-7.4939463559738943E-5</v>
      </c>
      <c r="N62" s="14">
        <f t="shared" ca="1" si="24"/>
        <v>5.5999762329587402E-4</v>
      </c>
      <c r="O62" s="14">
        <f t="shared" ca="1" si="24"/>
        <v>1.3569073766746007E-4</v>
      </c>
    </row>
    <row r="63" spans="1:15" x14ac:dyDescent="0.25">
      <c r="A63" s="1" t="s">
        <v>48</v>
      </c>
      <c r="B63" t="s">
        <v>36</v>
      </c>
      <c r="C63" t="s">
        <v>7</v>
      </c>
      <c r="D63" s="14">
        <f t="shared" ref="D63:O63" ca="1" si="25">IF(D9 = 0, 0, D39/D9)</f>
        <v>3.9490301900700078E-4</v>
      </c>
      <c r="E63" s="14">
        <f t="shared" ca="1" si="25"/>
        <v>-1.292498486456038E-4</v>
      </c>
      <c r="F63" s="14">
        <f t="shared" ca="1" si="25"/>
        <v>0</v>
      </c>
      <c r="G63" s="14">
        <f t="shared" ca="1" si="25"/>
        <v>2.9387350670422225E-4</v>
      </c>
      <c r="H63" s="14">
        <f t="shared" ca="1" si="25"/>
        <v>0</v>
      </c>
      <c r="I63" s="14">
        <f t="shared" ca="1" si="25"/>
        <v>0</v>
      </c>
      <c r="J63" s="14">
        <f t="shared" ca="1" si="25"/>
        <v>2.4968874085942451E-4</v>
      </c>
      <c r="K63" s="14">
        <f t="shared" ca="1" si="25"/>
        <v>2.4968874085942451E-4</v>
      </c>
      <c r="L63" s="14">
        <f t="shared" ca="1" si="25"/>
        <v>3.9490301900700078E-4</v>
      </c>
      <c r="M63" s="14">
        <f t="shared" ca="1" si="25"/>
        <v>-1.292498486456038E-4</v>
      </c>
      <c r="N63" s="14">
        <f t="shared" ca="1" si="25"/>
        <v>2.4968874085942451E-4</v>
      </c>
      <c r="O63" s="14">
        <f t="shared" ca="1" si="25"/>
        <v>2.8732652280938852E-4</v>
      </c>
    </row>
    <row r="64" spans="1:15" x14ac:dyDescent="0.25">
      <c r="A64" s="1" t="s">
        <v>48</v>
      </c>
      <c r="B64" t="s">
        <v>36</v>
      </c>
      <c r="C64" t="s">
        <v>8</v>
      </c>
      <c r="D64" s="14">
        <f t="shared" ref="D64:O64" ca="1" si="26">IF(D10 = 0, 0, D40/D10)</f>
        <v>1.4907258612966575E-3</v>
      </c>
      <c r="E64" s="14">
        <f t="shared" ca="1" si="26"/>
        <v>7.1474734500252016E-5</v>
      </c>
      <c r="F64" s="14">
        <f t="shared" ca="1" si="26"/>
        <v>0</v>
      </c>
      <c r="G64" s="14">
        <f t="shared" ca="1" si="26"/>
        <v>1.2146959596596313E-3</v>
      </c>
      <c r="H64" s="14">
        <f t="shared" ca="1" si="26"/>
        <v>0</v>
      </c>
      <c r="I64" s="14">
        <f t="shared" ca="1" si="26"/>
        <v>0</v>
      </c>
      <c r="J64" s="14">
        <f t="shared" ca="1" si="26"/>
        <v>1.8264170618551617E-3</v>
      </c>
      <c r="K64" s="14">
        <f t="shared" ca="1" si="26"/>
        <v>1.8264170618551617E-3</v>
      </c>
      <c r="L64" s="14">
        <f t="shared" ca="1" si="26"/>
        <v>1.4907258612966575E-3</v>
      </c>
      <c r="M64" s="14">
        <f t="shared" ca="1" si="26"/>
        <v>7.1474734500252016E-5</v>
      </c>
      <c r="N64" s="14">
        <f t="shared" ca="1" si="26"/>
        <v>1.8264170618551617E-3</v>
      </c>
      <c r="O64" s="14">
        <f t="shared" ca="1" si="26"/>
        <v>1.3824392781505122E-3</v>
      </c>
    </row>
    <row r="65" spans="1:15" x14ac:dyDescent="0.25">
      <c r="A65" s="1" t="s">
        <v>48</v>
      </c>
      <c r="B65" t="s">
        <v>36</v>
      </c>
      <c r="C65" t="s">
        <v>9</v>
      </c>
      <c r="D65" s="14">
        <f t="shared" ref="D65:O65" ca="1" si="27">IF(D11 = 0, 0, D41/D11)</f>
        <v>0</v>
      </c>
      <c r="E65" s="14">
        <f t="shared" ca="1" si="27"/>
        <v>0</v>
      </c>
      <c r="F65" s="14">
        <f t="shared" ca="1" si="27"/>
        <v>2.1198638581318605E-5</v>
      </c>
      <c r="G65" s="14">
        <f t="shared" ca="1" si="27"/>
        <v>2.1198638581318605E-5</v>
      </c>
      <c r="H65" s="14">
        <f t="shared" ca="1" si="27"/>
        <v>1.2156045202642475E-4</v>
      </c>
      <c r="I65" s="14">
        <f t="shared" ca="1" si="27"/>
        <v>-4.8442171512956176E-4</v>
      </c>
      <c r="J65" s="14">
        <f t="shared" ca="1" si="27"/>
        <v>0</v>
      </c>
      <c r="K65" s="14">
        <f t="shared" ca="1" si="27"/>
        <v>6.8774677915744458E-5</v>
      </c>
      <c r="L65" s="14">
        <f t="shared" ca="1" si="27"/>
        <v>1.2156045202642475E-4</v>
      </c>
      <c r="M65" s="14">
        <f t="shared" ca="1" si="27"/>
        <v>-4.8442171512956176E-4</v>
      </c>
      <c r="N65" s="14">
        <f t="shared" ca="1" si="27"/>
        <v>2.1198638581318605E-5</v>
      </c>
      <c r="O65" s="14">
        <f t="shared" ca="1" si="27"/>
        <v>6.7709980467615E-5</v>
      </c>
    </row>
    <row r="66" spans="1:15" x14ac:dyDescent="0.25">
      <c r="A66" s="1" t="s">
        <v>48</v>
      </c>
      <c r="B66" t="s">
        <v>36</v>
      </c>
      <c r="C66" t="s">
        <v>10</v>
      </c>
      <c r="D66" s="14">
        <f t="shared" ref="D66:O66" ca="1" si="28">IF(D12 = 0, 0, D42/D12)</f>
        <v>0</v>
      </c>
      <c r="E66" s="14">
        <f t="shared" ca="1" si="28"/>
        <v>0</v>
      </c>
      <c r="F66" s="14">
        <f t="shared" ca="1" si="28"/>
        <v>1.4437153531894091E-4</v>
      </c>
      <c r="G66" s="14">
        <f t="shared" ca="1" si="28"/>
        <v>1.4437153531894091E-4</v>
      </c>
      <c r="H66" s="14">
        <f t="shared" ca="1" si="28"/>
        <v>8.977486337977251E-4</v>
      </c>
      <c r="I66" s="14">
        <f t="shared" ca="1" si="28"/>
        <v>-1.702517495559586E-3</v>
      </c>
      <c r="J66" s="14">
        <f t="shared" ca="1" si="28"/>
        <v>0</v>
      </c>
      <c r="K66" s="14">
        <f t="shared" ca="1" si="28"/>
        <v>7.2338107359643227E-4</v>
      </c>
      <c r="L66" s="14">
        <f t="shared" ca="1" si="28"/>
        <v>8.977486337977251E-4</v>
      </c>
      <c r="M66" s="14">
        <f t="shared" ca="1" si="28"/>
        <v>-1.702517495559586E-3</v>
      </c>
      <c r="N66" s="14">
        <f t="shared" ca="1" si="28"/>
        <v>1.4437153531894091E-4</v>
      </c>
      <c r="O66" s="14">
        <f t="shared" ca="1" si="28"/>
        <v>7.0930823929486861E-4</v>
      </c>
    </row>
    <row r="67" spans="1:15" x14ac:dyDescent="0.25">
      <c r="A67" s="1" t="s">
        <v>48</v>
      </c>
      <c r="B67" t="s">
        <v>36</v>
      </c>
      <c r="C67" t="s">
        <v>11</v>
      </c>
      <c r="D67" s="14">
        <f t="shared" ref="D67:O67" ca="1" si="29">IF(D13 = 0, 0, D43/D13)</f>
        <v>0</v>
      </c>
      <c r="E67" s="14">
        <f t="shared" ca="1" si="29"/>
        <v>0</v>
      </c>
      <c r="F67" s="14">
        <f t="shared" ca="1" si="29"/>
        <v>1.032368589981946E-3</v>
      </c>
      <c r="G67" s="14">
        <f t="shared" ca="1" si="29"/>
        <v>1.032368589981946E-3</v>
      </c>
      <c r="H67" s="14">
        <f t="shared" ca="1" si="29"/>
        <v>1.888669707690991E-3</v>
      </c>
      <c r="I67" s="14">
        <f t="shared" ca="1" si="29"/>
        <v>-3.2967282058065264E-3</v>
      </c>
      <c r="J67" s="14">
        <f t="shared" ca="1" si="29"/>
        <v>0</v>
      </c>
      <c r="K67" s="14">
        <f t="shared" ca="1" si="29"/>
        <v>1.6311682633247681E-3</v>
      </c>
      <c r="L67" s="14">
        <f t="shared" ca="1" si="29"/>
        <v>1.888669707690991E-3</v>
      </c>
      <c r="M67" s="14">
        <f t="shared" ca="1" si="29"/>
        <v>-3.2967282058065264E-3</v>
      </c>
      <c r="N67" s="14">
        <f t="shared" ca="1" si="29"/>
        <v>1.032368589981946E-3</v>
      </c>
      <c r="O67" s="14">
        <f t="shared" ca="1" si="29"/>
        <v>1.5970726333336481E-3</v>
      </c>
    </row>
    <row r="68" spans="1:15" x14ac:dyDescent="0.25">
      <c r="A68" s="1" t="s">
        <v>48</v>
      </c>
      <c r="B68" t="s">
        <v>37</v>
      </c>
      <c r="C68" t="s">
        <v>6</v>
      </c>
      <c r="D68" s="14">
        <f t="shared" ref="D68:O68" ca="1" si="30">IF(D14 = 0, 0, D44/D14)</f>
        <v>-2.5026526839527228E-3</v>
      </c>
      <c r="E68" s="14">
        <f t="shared" ca="1" si="30"/>
        <v>1.1012771705357213E-3</v>
      </c>
      <c r="F68" s="14">
        <f t="shared" ca="1" si="30"/>
        <v>0</v>
      </c>
      <c r="G68" s="14">
        <f t="shared" ca="1" si="30"/>
        <v>-1.8002482265838788E-3</v>
      </c>
      <c r="H68" s="14">
        <f t="shared" ca="1" si="30"/>
        <v>0</v>
      </c>
      <c r="I68" s="14">
        <f t="shared" ca="1" si="30"/>
        <v>0</v>
      </c>
      <c r="J68" s="14">
        <f t="shared" ca="1" si="30"/>
        <v>-1.3014856886796352E-3</v>
      </c>
      <c r="K68" s="14">
        <f t="shared" ca="1" si="30"/>
        <v>-1.3014856886796352E-3</v>
      </c>
      <c r="L68" s="14">
        <f t="shared" ca="1" si="30"/>
        <v>-2.5026526839527228E-3</v>
      </c>
      <c r="M68" s="14">
        <f t="shared" ca="1" si="30"/>
        <v>1.1012771705357213E-3</v>
      </c>
      <c r="N68" s="14">
        <f t="shared" ca="1" si="30"/>
        <v>-1.3014856886796352E-3</v>
      </c>
      <c r="O68" s="14">
        <f t="shared" ca="1" si="30"/>
        <v>-1.7773604541491458E-3</v>
      </c>
    </row>
    <row r="69" spans="1:15" x14ac:dyDescent="0.25">
      <c r="A69" s="1" t="s">
        <v>48</v>
      </c>
      <c r="B69" t="s">
        <v>37</v>
      </c>
      <c r="C69" t="s">
        <v>7</v>
      </c>
      <c r="D69" s="14">
        <f t="shared" ref="D69:O69" ca="1" si="31">IF(D15 = 0, 0, D45/D15)</f>
        <v>-2.1399691771796792E-3</v>
      </c>
      <c r="E69" s="14">
        <f t="shared" ca="1" si="31"/>
        <v>2.2618695951269038E-4</v>
      </c>
      <c r="F69" s="14">
        <f t="shared" ca="1" si="31"/>
        <v>0</v>
      </c>
      <c r="G69" s="14">
        <f t="shared" ca="1" si="31"/>
        <v>-1.684089801773779E-3</v>
      </c>
      <c r="H69" s="14">
        <f t="shared" ca="1" si="31"/>
        <v>0</v>
      </c>
      <c r="I69" s="14">
        <f t="shared" ca="1" si="31"/>
        <v>0</v>
      </c>
      <c r="J69" s="14">
        <f t="shared" ca="1" si="31"/>
        <v>-1.1610086149248474E-3</v>
      </c>
      <c r="K69" s="14">
        <f t="shared" ca="1" si="31"/>
        <v>-1.1610086149248474E-3</v>
      </c>
      <c r="L69" s="14">
        <f t="shared" ca="1" si="31"/>
        <v>-2.1399691771796792E-3</v>
      </c>
      <c r="M69" s="14">
        <f t="shared" ca="1" si="31"/>
        <v>2.2618695951269038E-4</v>
      </c>
      <c r="N69" s="14">
        <f t="shared" ca="1" si="31"/>
        <v>-1.1610086149248474E-3</v>
      </c>
      <c r="O69" s="14">
        <f t="shared" ca="1" si="31"/>
        <v>-1.6065862735094561E-3</v>
      </c>
    </row>
    <row r="70" spans="1:15" x14ac:dyDescent="0.25">
      <c r="A70" s="1" t="s">
        <v>48</v>
      </c>
      <c r="B70" t="s">
        <v>37</v>
      </c>
      <c r="C70" t="s">
        <v>8</v>
      </c>
      <c r="D70" s="14">
        <f t="shared" ref="D70:O70" ca="1" si="32">IF(D16 = 0, 0, D46/D16)</f>
        <v>-1.7953342111768605E-3</v>
      </c>
      <c r="E70" s="14">
        <f t="shared" ca="1" si="32"/>
        <v>-7.1887598858166976E-4</v>
      </c>
      <c r="F70" s="14">
        <f t="shared" ca="1" si="32"/>
        <v>0</v>
      </c>
      <c r="G70" s="14">
        <f t="shared" ca="1" si="32"/>
        <v>-1.586213095703294E-3</v>
      </c>
      <c r="H70" s="14">
        <f t="shared" ca="1" si="32"/>
        <v>0</v>
      </c>
      <c r="I70" s="14">
        <f t="shared" ca="1" si="32"/>
        <v>0</v>
      </c>
      <c r="J70" s="14">
        <f t="shared" ca="1" si="32"/>
        <v>-1.642275089069905E-3</v>
      </c>
      <c r="K70" s="14">
        <f t="shared" ca="1" si="32"/>
        <v>-1.642275089069905E-3</v>
      </c>
      <c r="L70" s="14">
        <f t="shared" ca="1" si="32"/>
        <v>-1.7953342111768605E-3</v>
      </c>
      <c r="M70" s="14">
        <f t="shared" ca="1" si="32"/>
        <v>-7.1887598858166976E-4</v>
      </c>
      <c r="N70" s="14">
        <f t="shared" ca="1" si="32"/>
        <v>-1.642275089069905E-3</v>
      </c>
      <c r="O70" s="14">
        <f t="shared" ca="1" si="32"/>
        <v>-1.6015929709241726E-3</v>
      </c>
    </row>
    <row r="71" spans="1:15" x14ac:dyDescent="0.25">
      <c r="A71" s="1" t="s">
        <v>48</v>
      </c>
      <c r="B71" t="s">
        <v>37</v>
      </c>
      <c r="C71" t="s">
        <v>9</v>
      </c>
      <c r="D71" s="14">
        <f t="shared" ref="D71:O71" ca="1" si="33">IF(D17 = 0, 0, D47/D17)</f>
        <v>0</v>
      </c>
      <c r="E71" s="14">
        <f t="shared" ca="1" si="33"/>
        <v>0</v>
      </c>
      <c r="F71" s="14">
        <f t="shared" ca="1" si="33"/>
        <v>-1.0243273396795339E-3</v>
      </c>
      <c r="G71" s="14">
        <f t="shared" ca="1" si="33"/>
        <v>-1.0243273396795339E-3</v>
      </c>
      <c r="H71" s="14">
        <f t="shared" ca="1" si="33"/>
        <v>-2.1943361868005215E-3</v>
      </c>
      <c r="I71" s="14">
        <f t="shared" ca="1" si="33"/>
        <v>1.1463254451994156E-3</v>
      </c>
      <c r="J71" s="14">
        <f t="shared" ca="1" si="33"/>
        <v>0</v>
      </c>
      <c r="K71" s="14">
        <f t="shared" ca="1" si="33"/>
        <v>-1.903499465483418E-3</v>
      </c>
      <c r="L71" s="14">
        <f t="shared" ca="1" si="33"/>
        <v>-2.1943361868005215E-3</v>
      </c>
      <c r="M71" s="14">
        <f t="shared" ca="1" si="33"/>
        <v>1.1463254451994156E-3</v>
      </c>
      <c r="N71" s="14">
        <f t="shared" ca="1" si="33"/>
        <v>-1.0243273396795339E-3</v>
      </c>
      <c r="O71" s="14">
        <f t="shared" ca="1" si="33"/>
        <v>-1.8838255120343292E-3</v>
      </c>
    </row>
    <row r="72" spans="1:15" x14ac:dyDescent="0.25">
      <c r="A72" s="1" t="s">
        <v>48</v>
      </c>
      <c r="B72" t="s">
        <v>37</v>
      </c>
      <c r="C72" t="s">
        <v>10</v>
      </c>
      <c r="D72" s="14">
        <f t="shared" ref="D72:O72" ca="1" si="34">IF(D18 = 0, 0, D48/D18)</f>
        <v>0</v>
      </c>
      <c r="E72" s="14">
        <f t="shared" ca="1" si="34"/>
        <v>0</v>
      </c>
      <c r="F72" s="14">
        <f t="shared" ca="1" si="34"/>
        <v>-1.2467373515631958E-3</v>
      </c>
      <c r="G72" s="14">
        <f t="shared" ca="1" si="34"/>
        <v>-1.2467373515631958E-3</v>
      </c>
      <c r="H72" s="14">
        <f t="shared" ca="1" si="34"/>
        <v>-1.9900540484312705E-3</v>
      </c>
      <c r="I72" s="14">
        <f t="shared" ca="1" si="34"/>
        <v>6.7743739575905858E-4</v>
      </c>
      <c r="J72" s="14">
        <f t="shared" ca="1" si="34"/>
        <v>0</v>
      </c>
      <c r="K72" s="14">
        <f t="shared" ca="1" si="34"/>
        <v>-1.8116121413544045E-3</v>
      </c>
      <c r="L72" s="14">
        <f t="shared" ca="1" si="34"/>
        <v>-1.9900540484312705E-3</v>
      </c>
      <c r="M72" s="14">
        <f t="shared" ca="1" si="34"/>
        <v>6.7743739575905858E-4</v>
      </c>
      <c r="N72" s="14">
        <f t="shared" ca="1" si="34"/>
        <v>-1.2467373515631958E-3</v>
      </c>
      <c r="O72" s="14">
        <f t="shared" ca="1" si="34"/>
        <v>-1.797890602978761E-3</v>
      </c>
    </row>
    <row r="73" spans="1:15" x14ac:dyDescent="0.25">
      <c r="A73" s="1" t="s">
        <v>48</v>
      </c>
      <c r="B73" t="s">
        <v>37</v>
      </c>
      <c r="C73" t="s">
        <v>11</v>
      </c>
      <c r="D73" s="14">
        <f t="shared" ref="D73:O73" ca="1" si="35">IF(D19 = 0, 0, D49/D19)</f>
        <v>0</v>
      </c>
      <c r="E73" s="14">
        <f t="shared" ca="1" si="35"/>
        <v>0</v>
      </c>
      <c r="F73" s="14">
        <f t="shared" ca="1" si="35"/>
        <v>-1.4373116307351491E-3</v>
      </c>
      <c r="G73" s="14">
        <f t="shared" ca="1" si="35"/>
        <v>-1.4373116307351491E-3</v>
      </c>
      <c r="H73" s="14">
        <f t="shared" ca="1" si="35"/>
        <v>-1.858914446565899E-3</v>
      </c>
      <c r="I73" s="14">
        <f t="shared" ca="1" si="35"/>
        <v>3.1129312195916524E-4</v>
      </c>
      <c r="J73" s="14">
        <f t="shared" ca="1" si="35"/>
        <v>0</v>
      </c>
      <c r="K73" s="14">
        <f t="shared" ca="1" si="35"/>
        <v>-1.7516744211590184E-3</v>
      </c>
      <c r="L73" s="14">
        <f t="shared" ca="1" si="35"/>
        <v>-1.858914446565899E-3</v>
      </c>
      <c r="M73" s="14">
        <f t="shared" ca="1" si="35"/>
        <v>3.1129312195916524E-4</v>
      </c>
      <c r="N73" s="14">
        <f t="shared" ca="1" si="35"/>
        <v>-1.4373116307351491E-3</v>
      </c>
      <c r="O73" s="14">
        <f t="shared" ca="1" si="35"/>
        <v>-1.7337847081368299E-3</v>
      </c>
    </row>
    <row r="74" spans="1:15" x14ac:dyDescent="0.25">
      <c r="A74" s="1" t="s">
        <v>48</v>
      </c>
      <c r="B74" t="s">
        <v>38</v>
      </c>
      <c r="C74" t="s">
        <v>6</v>
      </c>
      <c r="D74" s="14">
        <f t="shared" ref="D74:O74" ca="1" si="36">IF(D20 = 0, 0, D50/D20)</f>
        <v>9.374061272693468E-3</v>
      </c>
      <c r="E74" s="14">
        <f t="shared" ca="1" si="36"/>
        <v>-2.8191508498767563E-2</v>
      </c>
      <c r="F74" s="14">
        <f t="shared" ca="1" si="36"/>
        <v>0</v>
      </c>
      <c r="G74" s="14">
        <f t="shared" ca="1" si="36"/>
        <v>2.0312651879441264E-3</v>
      </c>
      <c r="H74" s="14">
        <f t="shared" ca="1" si="36"/>
        <v>0</v>
      </c>
      <c r="I74" s="14">
        <f t="shared" ca="1" si="36"/>
        <v>0</v>
      </c>
      <c r="J74" s="14">
        <f t="shared" ca="1" si="36"/>
        <v>-2.1858757813810479E-4</v>
      </c>
      <c r="K74" s="14">
        <f t="shared" ca="1" si="36"/>
        <v>-2.1858757813810479E-4</v>
      </c>
      <c r="L74" s="14">
        <f t="shared" ca="1" si="36"/>
        <v>9.374061272693468E-3</v>
      </c>
      <c r="M74" s="14">
        <f t="shared" ca="1" si="36"/>
        <v>-2.8191508498767563E-2</v>
      </c>
      <c r="N74" s="14">
        <f t="shared" ca="1" si="36"/>
        <v>-2.1858757813810479E-4</v>
      </c>
      <c r="O74" s="14">
        <f t="shared" ca="1" si="36"/>
        <v>1.9279722126509529E-3</v>
      </c>
    </row>
    <row r="75" spans="1:15" x14ac:dyDescent="0.25">
      <c r="A75" s="1" t="s">
        <v>48</v>
      </c>
      <c r="B75" t="s">
        <v>38</v>
      </c>
      <c r="C75" t="s">
        <v>7</v>
      </c>
      <c r="D75" s="14">
        <f t="shared" ref="D75:O75" ca="1" si="37">IF(D21 = 0, 0, D51/D21)</f>
        <v>1.7630489191538559E-2</v>
      </c>
      <c r="E75" s="14">
        <f t="shared" ca="1" si="37"/>
        <v>-4.343357474321019E-2</v>
      </c>
      <c r="F75" s="14">
        <f t="shared" ca="1" si="37"/>
        <v>0</v>
      </c>
      <c r="G75" s="14">
        <f t="shared" ca="1" si="37"/>
        <v>5.8429682438601227E-3</v>
      </c>
      <c r="H75" s="14">
        <f t="shared" ca="1" si="37"/>
        <v>0</v>
      </c>
      <c r="I75" s="14">
        <f t="shared" ca="1" si="37"/>
        <v>0</v>
      </c>
      <c r="J75" s="14">
        <f t="shared" ca="1" si="37"/>
        <v>-2.4948512631940643E-5</v>
      </c>
      <c r="K75" s="14">
        <f t="shared" ca="1" si="37"/>
        <v>-2.4948512631940643E-5</v>
      </c>
      <c r="L75" s="14">
        <f t="shared" ca="1" si="37"/>
        <v>1.7630489191538559E-2</v>
      </c>
      <c r="M75" s="14">
        <f t="shared" ca="1" si="37"/>
        <v>-4.343357474321019E-2</v>
      </c>
      <c r="N75" s="14">
        <f t="shared" ca="1" si="37"/>
        <v>-2.4948512631940643E-5</v>
      </c>
      <c r="O75" s="14">
        <f t="shared" ca="1" si="37"/>
        <v>4.9731468252814728E-3</v>
      </c>
    </row>
    <row r="76" spans="1:15" x14ac:dyDescent="0.25">
      <c r="A76" s="1" t="s">
        <v>48</v>
      </c>
      <c r="B76" t="s">
        <v>38</v>
      </c>
      <c r="C76" t="s">
        <v>8</v>
      </c>
      <c r="D76" s="14">
        <f t="shared" ref="D76:O76" ca="1" si="38">IF(D22 = 0, 0, D52/D22)</f>
        <v>3.1224029484461929E-2</v>
      </c>
      <c r="E76" s="14">
        <f t="shared" ca="1" si="38"/>
        <v>-5.9200676165005468E-2</v>
      </c>
      <c r="F76" s="14">
        <f t="shared" ca="1" si="38"/>
        <v>0</v>
      </c>
      <c r="G76" s="14">
        <f t="shared" ca="1" si="38"/>
        <v>1.3642165117361878E-2</v>
      </c>
      <c r="H76" s="14">
        <f t="shared" ca="1" si="38"/>
        <v>0</v>
      </c>
      <c r="I76" s="14">
        <f t="shared" ca="1" si="38"/>
        <v>0</v>
      </c>
      <c r="J76" s="14">
        <f t="shared" ca="1" si="38"/>
        <v>-7.2298121882476401E-4</v>
      </c>
      <c r="K76" s="14">
        <f t="shared" ca="1" si="38"/>
        <v>-7.2298121882476401E-4</v>
      </c>
      <c r="L76" s="14">
        <f t="shared" ca="1" si="38"/>
        <v>3.1224029484461929E-2</v>
      </c>
      <c r="M76" s="14">
        <f t="shared" ca="1" si="38"/>
        <v>-5.9200676165005468E-2</v>
      </c>
      <c r="N76" s="14">
        <f t="shared" ca="1" si="38"/>
        <v>-7.2298121882476401E-4</v>
      </c>
      <c r="O76" s="14">
        <f t="shared" ca="1" si="38"/>
        <v>9.7014355349438232E-3</v>
      </c>
    </row>
    <row r="77" spans="1:15" x14ac:dyDescent="0.25">
      <c r="A77" s="1" t="s">
        <v>48</v>
      </c>
      <c r="B77" t="s">
        <v>38</v>
      </c>
      <c r="C77" t="s">
        <v>9</v>
      </c>
      <c r="D77" s="14">
        <f t="shared" ref="D77:O77" ca="1" si="39">IF(D23 = 0, 0, D53/D23)</f>
        <v>0</v>
      </c>
      <c r="E77" s="14">
        <f t="shared" ca="1" si="39"/>
        <v>0</v>
      </c>
      <c r="F77" s="14">
        <f t="shared" ca="1" si="39"/>
        <v>3.5973363671481526E-3</v>
      </c>
      <c r="G77" s="14">
        <f t="shared" ca="1" si="39"/>
        <v>3.5973363671481526E-3</v>
      </c>
      <c r="H77" s="14">
        <f t="shared" ca="1" si="39"/>
        <v>2.7728397604716195E-4</v>
      </c>
      <c r="I77" s="14">
        <f t="shared" ca="1" si="39"/>
        <v>-1.9683398634945636E-3</v>
      </c>
      <c r="J77" s="14">
        <f t="shared" ca="1" si="39"/>
        <v>0</v>
      </c>
      <c r="K77" s="14">
        <f t="shared" ca="1" si="39"/>
        <v>8.1183437743403508E-5</v>
      </c>
      <c r="L77" s="14">
        <f t="shared" ca="1" si="39"/>
        <v>2.7728397604716195E-4</v>
      </c>
      <c r="M77" s="14">
        <f t="shared" ca="1" si="39"/>
        <v>-1.9683398634945636E-3</v>
      </c>
      <c r="N77" s="14">
        <f t="shared" ca="1" si="39"/>
        <v>3.5973363671481526E-3</v>
      </c>
      <c r="O77" s="14">
        <f t="shared" ca="1" si="39"/>
        <v>1.5993502281538908E-4</v>
      </c>
    </row>
    <row r="78" spans="1:15" x14ac:dyDescent="0.25">
      <c r="A78" s="1" t="s">
        <v>48</v>
      </c>
      <c r="B78" t="s">
        <v>38</v>
      </c>
      <c r="C78" t="s">
        <v>10</v>
      </c>
      <c r="D78" s="14">
        <f t="shared" ref="D78:O78" ca="1" si="40">IF(D24 = 0, 0, D54/D24)</f>
        <v>0</v>
      </c>
      <c r="E78" s="14">
        <f t="shared" ca="1" si="40"/>
        <v>0</v>
      </c>
      <c r="F78" s="14">
        <f t="shared" ca="1" si="40"/>
        <v>9.1997778759869645E-3</v>
      </c>
      <c r="G78" s="14">
        <f t="shared" ca="1" si="40"/>
        <v>9.1997778759869645E-3</v>
      </c>
      <c r="H78" s="14">
        <f t="shared" ca="1" si="40"/>
        <v>-2.733138187774237E-4</v>
      </c>
      <c r="I78" s="14">
        <f t="shared" ca="1" si="40"/>
        <v>1.4813277947381258E-2</v>
      </c>
      <c r="J78" s="14">
        <f t="shared" ca="1" si="40"/>
        <v>0</v>
      </c>
      <c r="K78" s="14">
        <f t="shared" ca="1" si="40"/>
        <v>7.3842066833312956E-4</v>
      </c>
      <c r="L78" s="14">
        <f t="shared" ca="1" si="40"/>
        <v>-2.733138187774237E-4</v>
      </c>
      <c r="M78" s="14">
        <f t="shared" ca="1" si="40"/>
        <v>1.4813277947381258E-2</v>
      </c>
      <c r="N78" s="14">
        <f t="shared" ca="1" si="40"/>
        <v>9.1997778759869645E-3</v>
      </c>
      <c r="O78" s="14">
        <f t="shared" ca="1" si="40"/>
        <v>9.4407145229247517E-4</v>
      </c>
    </row>
    <row r="79" spans="1:15" x14ac:dyDescent="0.25">
      <c r="A79" s="1" t="s">
        <v>48</v>
      </c>
      <c r="B79" t="s">
        <v>38</v>
      </c>
      <c r="C79" t="s">
        <v>11</v>
      </c>
      <c r="D79" s="14">
        <f t="shared" ref="D79:O79" ca="1" si="41">IF(D25 = 0, 0, D55/D25)</f>
        <v>0</v>
      </c>
      <c r="E79" s="14">
        <f t="shared" ca="1" si="41"/>
        <v>0</v>
      </c>
      <c r="F79" s="14">
        <f t="shared" ca="1" si="41"/>
        <v>2.7423363276734568E-2</v>
      </c>
      <c r="G79" s="14">
        <f t="shared" ca="1" si="41"/>
        <v>2.7423363276734568E-2</v>
      </c>
      <c r="H79" s="14">
        <f t="shared" ca="1" si="41"/>
        <v>-6.7479036749319786E-4</v>
      </c>
      <c r="I79" s="14">
        <f t="shared" ca="1" si="41"/>
        <v>3.767278598796401E-2</v>
      </c>
      <c r="J79" s="14">
        <f t="shared" ca="1" si="41"/>
        <v>0</v>
      </c>
      <c r="K79" s="14">
        <f t="shared" ca="1" si="41"/>
        <v>1.2240573495280824E-3</v>
      </c>
      <c r="L79" s="14">
        <f t="shared" ca="1" si="41"/>
        <v>-6.7479036749319786E-4</v>
      </c>
      <c r="M79" s="14">
        <f t="shared" ca="1" si="41"/>
        <v>3.767278598796401E-2</v>
      </c>
      <c r="N79" s="14">
        <f t="shared" ca="1" si="41"/>
        <v>2.7423363276734568E-2</v>
      </c>
      <c r="O79" s="14">
        <f t="shared" ca="1" si="41"/>
        <v>2.7154465228294024E-3</v>
      </c>
    </row>
    <row r="80" spans="1:15" x14ac:dyDescent="0.25">
      <c r="A80" s="1" t="s">
        <v>48</v>
      </c>
      <c r="B80" t="s">
        <v>39</v>
      </c>
      <c r="C80" t="s">
        <v>6</v>
      </c>
      <c r="D80" s="14">
        <f t="shared" ref="D80:O80" ca="1" si="42">IF(D26 = 0, 0, D56/D26)</f>
        <v>-1.4127199420460889E-3</v>
      </c>
      <c r="E80" s="14">
        <f t="shared" ca="1" si="42"/>
        <v>3.0986550376111404E-3</v>
      </c>
      <c r="F80" s="14">
        <f t="shared" ca="1" si="42"/>
        <v>0</v>
      </c>
      <c r="G80" s="14">
        <f t="shared" ca="1" si="42"/>
        <v>-5.5749603843879662E-4</v>
      </c>
      <c r="H80" s="14">
        <f t="shared" ca="1" si="42"/>
        <v>0</v>
      </c>
      <c r="I80" s="14">
        <f t="shared" ca="1" si="42"/>
        <v>0</v>
      </c>
      <c r="J80" s="14">
        <f t="shared" ca="1" si="42"/>
        <v>-4.6761450730567982E-4</v>
      </c>
      <c r="K80" s="14">
        <f t="shared" ca="1" si="42"/>
        <v>-4.6761450730567982E-4</v>
      </c>
      <c r="L80" s="14">
        <f t="shared" ca="1" si="42"/>
        <v>-1.4127199420460889E-3</v>
      </c>
      <c r="M80" s="14">
        <f t="shared" ca="1" si="42"/>
        <v>3.0986550376111404E-3</v>
      </c>
      <c r="N80" s="14">
        <f t="shared" ca="1" si="42"/>
        <v>-4.6761450730567982E-4</v>
      </c>
      <c r="O80" s="14">
        <f t="shared" ca="1" si="42"/>
        <v>-5.5337832890703452E-4</v>
      </c>
    </row>
    <row r="81" spans="1:15" x14ac:dyDescent="0.25">
      <c r="A81" s="1" t="s">
        <v>48</v>
      </c>
      <c r="B81" t="s">
        <v>39</v>
      </c>
      <c r="C81" t="s">
        <v>7</v>
      </c>
      <c r="D81" s="14">
        <f t="shared" ref="D81:O81" ca="1" si="43">IF(D27 = 0, 0, D57/D27)</f>
        <v>-3.0971379886957249E-3</v>
      </c>
      <c r="E81" s="14">
        <f t="shared" ca="1" si="43"/>
        <v>6.6495933453566752E-3</v>
      </c>
      <c r="F81" s="14">
        <f t="shared" ca="1" si="43"/>
        <v>0</v>
      </c>
      <c r="G81" s="14">
        <f t="shared" ca="1" si="43"/>
        <v>-1.3078480588483079E-3</v>
      </c>
      <c r="H81" s="14">
        <f t="shared" ca="1" si="43"/>
        <v>0</v>
      </c>
      <c r="I81" s="14">
        <f t="shared" ca="1" si="43"/>
        <v>0</v>
      </c>
      <c r="J81" s="14">
        <f t="shared" ca="1" si="43"/>
        <v>-1.954697369305776E-4</v>
      </c>
      <c r="K81" s="14">
        <f t="shared" ca="1" si="43"/>
        <v>-1.954697369305776E-4</v>
      </c>
      <c r="L81" s="14">
        <f t="shared" ca="1" si="43"/>
        <v>-3.0971379886957249E-3</v>
      </c>
      <c r="M81" s="14">
        <f t="shared" ca="1" si="43"/>
        <v>6.6495933453566752E-3</v>
      </c>
      <c r="N81" s="14">
        <f t="shared" ca="1" si="43"/>
        <v>-1.954697369305776E-4</v>
      </c>
      <c r="O81" s="14">
        <f t="shared" ca="1" si="43"/>
        <v>-1.1437764723646281E-3</v>
      </c>
    </row>
    <row r="82" spans="1:15" x14ac:dyDescent="0.25">
      <c r="A82" s="1" t="s">
        <v>48</v>
      </c>
      <c r="B82" t="s">
        <v>39</v>
      </c>
      <c r="C82" t="s">
        <v>8</v>
      </c>
      <c r="D82" s="14">
        <f t="shared" ref="D82:O82" ca="1" si="44">IF(D28 = 0, 0, D58/D28)</f>
        <v>-7.6166175758964894E-3</v>
      </c>
      <c r="E82" s="14">
        <f t="shared" ca="1" si="44"/>
        <v>1.1855311587975139E-2</v>
      </c>
      <c r="F82" s="14">
        <f t="shared" ca="1" si="44"/>
        <v>0</v>
      </c>
      <c r="G82" s="14">
        <f t="shared" ca="1" si="44"/>
        <v>-4.1026388214642226E-3</v>
      </c>
      <c r="H82" s="14">
        <f t="shared" ca="1" si="44"/>
        <v>0</v>
      </c>
      <c r="I82" s="14">
        <f t="shared" ca="1" si="44"/>
        <v>0</v>
      </c>
      <c r="J82" s="14">
        <f t="shared" ca="1" si="44"/>
        <v>-1.6711585072341393E-3</v>
      </c>
      <c r="K82" s="14">
        <f t="shared" ca="1" si="44"/>
        <v>-1.6711585072341393E-3</v>
      </c>
      <c r="L82" s="14">
        <f t="shared" ca="1" si="44"/>
        <v>-7.6166175758964894E-3</v>
      </c>
      <c r="M82" s="14">
        <f t="shared" ca="1" si="44"/>
        <v>1.1855311587975139E-2</v>
      </c>
      <c r="N82" s="14">
        <f t="shared" ca="1" si="44"/>
        <v>-1.6711585072341393E-3</v>
      </c>
      <c r="O82" s="14">
        <f t="shared" ca="1" si="44"/>
        <v>-3.4425076154909213E-3</v>
      </c>
    </row>
    <row r="83" spans="1:15" x14ac:dyDescent="0.25">
      <c r="A83" s="1" t="s">
        <v>48</v>
      </c>
      <c r="B83" t="s">
        <v>39</v>
      </c>
      <c r="C83" t="s">
        <v>9</v>
      </c>
      <c r="D83" s="14">
        <f t="shared" ref="D83:O83" ca="1" si="45">IF(D29 = 0, 0, D59/D29)</f>
        <v>0</v>
      </c>
      <c r="E83" s="14">
        <f t="shared" ca="1" si="45"/>
        <v>0</v>
      </c>
      <c r="F83" s="14">
        <f t="shared" ca="1" si="45"/>
        <v>-2.4909246623791678E-4</v>
      </c>
      <c r="G83" s="14">
        <f t="shared" ca="1" si="45"/>
        <v>-2.4909246623791678E-4</v>
      </c>
      <c r="H83" s="14">
        <f t="shared" ca="1" si="45"/>
        <v>-8.9495819598041422E-5</v>
      </c>
      <c r="I83" s="14">
        <f t="shared" ca="1" si="45"/>
        <v>-1.5087908608385551E-4</v>
      </c>
      <c r="J83" s="14">
        <f t="shared" ca="1" si="45"/>
        <v>0</v>
      </c>
      <c r="K83" s="14">
        <f t="shared" ca="1" si="45"/>
        <v>-9.4845167375499817E-5</v>
      </c>
      <c r="L83" s="14">
        <f t="shared" ca="1" si="45"/>
        <v>-8.9495819598041422E-5</v>
      </c>
      <c r="M83" s="14">
        <f t="shared" ca="1" si="45"/>
        <v>-1.5087908608385551E-4</v>
      </c>
      <c r="N83" s="14">
        <f t="shared" ca="1" si="45"/>
        <v>-2.4909246623791678E-4</v>
      </c>
      <c r="O83" s="14">
        <f t="shared" ca="1" si="45"/>
        <v>-9.8311730893095654E-5</v>
      </c>
    </row>
    <row r="84" spans="1:15" x14ac:dyDescent="0.25">
      <c r="A84" s="1" t="s">
        <v>48</v>
      </c>
      <c r="B84" t="s">
        <v>39</v>
      </c>
      <c r="C84" t="s">
        <v>10</v>
      </c>
      <c r="D84" s="14">
        <f t="shared" ref="D84:O84" ca="1" si="46">IF(D30 = 0, 0, D60/D30)</f>
        <v>0</v>
      </c>
      <c r="E84" s="14">
        <f t="shared" ca="1" si="46"/>
        <v>0</v>
      </c>
      <c r="F84" s="14">
        <f t="shared" ca="1" si="46"/>
        <v>-1.330750491668519E-3</v>
      </c>
      <c r="G84" s="14">
        <f t="shared" ca="1" si="46"/>
        <v>-1.330750491668519E-3</v>
      </c>
      <c r="H84" s="14">
        <f t="shared" ca="1" si="46"/>
        <v>-8.0782088441193149E-4</v>
      </c>
      <c r="I84" s="14">
        <f t="shared" ca="1" si="46"/>
        <v>-1.1094472141498048E-3</v>
      </c>
      <c r="J84" s="14">
        <f t="shared" ca="1" si="46"/>
        <v>0</v>
      </c>
      <c r="K84" s="14">
        <f t="shared" ca="1" si="46"/>
        <v>-8.2833298946599187E-4</v>
      </c>
      <c r="L84" s="14">
        <f t="shared" ca="1" si="46"/>
        <v>-8.0782088441193149E-4</v>
      </c>
      <c r="M84" s="14">
        <f t="shared" ca="1" si="46"/>
        <v>-1.1094472141498048E-3</v>
      </c>
      <c r="N84" s="14">
        <f t="shared" ca="1" si="46"/>
        <v>-1.330750491668519E-3</v>
      </c>
      <c r="O84" s="14">
        <f t="shared" ca="1" si="46"/>
        <v>-8.4064481448338534E-4</v>
      </c>
    </row>
    <row r="85" spans="1:15" x14ac:dyDescent="0.25">
      <c r="A85" s="1" t="s">
        <v>48</v>
      </c>
      <c r="B85" t="s">
        <v>39</v>
      </c>
      <c r="C85" t="s">
        <v>11</v>
      </c>
      <c r="D85" s="14">
        <f t="shared" ref="D85:O85" ca="1" si="47">IF(D31 = 0, 0, D61/D31)</f>
        <v>0</v>
      </c>
      <c r="E85" s="14">
        <f t="shared" ca="1" si="47"/>
        <v>0</v>
      </c>
      <c r="F85" s="14">
        <f t="shared" ca="1" si="47"/>
        <v>-6.0775969897208766E-3</v>
      </c>
      <c r="G85" s="14">
        <f t="shared" ca="1" si="47"/>
        <v>-6.0775969897208766E-3</v>
      </c>
      <c r="H85" s="14">
        <f t="shared" ca="1" si="47"/>
        <v>-1.7487636201462269E-3</v>
      </c>
      <c r="I85" s="14">
        <f t="shared" ca="1" si="47"/>
        <v>-3.2600538163693538E-3</v>
      </c>
      <c r="J85" s="14">
        <f t="shared" ca="1" si="47"/>
        <v>0</v>
      </c>
      <c r="K85" s="14">
        <f t="shared" ca="1" si="47"/>
        <v>-1.8263220899057834E-3</v>
      </c>
      <c r="L85" s="14">
        <f t="shared" ca="1" si="47"/>
        <v>-1.7487636201462269E-3</v>
      </c>
      <c r="M85" s="14">
        <f t="shared" ca="1" si="47"/>
        <v>-3.2600538163693538E-3</v>
      </c>
      <c r="N85" s="14">
        <f t="shared" ca="1" si="47"/>
        <v>-6.0775969897208766E-3</v>
      </c>
      <c r="O85" s="14">
        <f t="shared" ca="1" si="47"/>
        <v>-2.0742880808765555E-3</v>
      </c>
    </row>
    <row r="86" spans="1:15" x14ac:dyDescent="0.25">
      <c r="A86" s="1" t="s">
        <v>49</v>
      </c>
      <c r="B86" t="s">
        <v>36</v>
      </c>
      <c r="C86" t="s">
        <v>6</v>
      </c>
      <c r="D86" s="1">
        <f ca="1">D14-D8</f>
        <v>83.018940732988995</v>
      </c>
      <c r="E86" s="1">
        <f t="shared" ref="E86:O86" ca="1" si="48">E14-E8</f>
        <v>-9.3361926649959059</v>
      </c>
      <c r="F86" s="1">
        <f t="shared" ca="1" si="48"/>
        <v>0</v>
      </c>
      <c r="G86" s="1">
        <f t="shared" ca="1" si="48"/>
        <v>73.682748068007641</v>
      </c>
      <c r="H86" s="1">
        <f t="shared" ca="1" si="48"/>
        <v>0</v>
      </c>
      <c r="I86" s="1">
        <f t="shared" ca="1" si="48"/>
        <v>0</v>
      </c>
      <c r="J86" s="1">
        <f t="shared" ca="1" si="48"/>
        <v>17.205593101996783</v>
      </c>
      <c r="K86" s="1">
        <f t="shared" ca="1" si="48"/>
        <v>17.205593101996783</v>
      </c>
      <c r="L86" s="1">
        <f t="shared" ca="1" si="48"/>
        <v>83.018940732988995</v>
      </c>
      <c r="M86" s="1">
        <f t="shared" ca="1" si="48"/>
        <v>-9.3361926649959059</v>
      </c>
      <c r="N86" s="1">
        <f t="shared" ca="1" si="48"/>
        <v>17.205593101996783</v>
      </c>
      <c r="O86" s="1">
        <f t="shared" ca="1" si="48"/>
        <v>90.888341170037165</v>
      </c>
    </row>
    <row r="87" spans="1:15" x14ac:dyDescent="0.25">
      <c r="A87" s="1" t="s">
        <v>49</v>
      </c>
      <c r="B87" t="s">
        <v>36</v>
      </c>
      <c r="C87" t="s">
        <v>7</v>
      </c>
      <c r="D87" s="1">
        <f t="shared" ref="D87:O91" ca="1" si="49">D15-D9</f>
        <v>212.59944367408752</v>
      </c>
      <c r="E87" s="1">
        <f t="shared" ca="1" si="49"/>
        <v>-16.614335328005836</v>
      </c>
      <c r="F87" s="1">
        <f t="shared" ca="1" si="49"/>
        <v>0</v>
      </c>
      <c r="G87" s="1">
        <f t="shared" ca="1" si="49"/>
        <v>195.98510834597982</v>
      </c>
      <c r="H87" s="1">
        <f t="shared" ca="1" si="49"/>
        <v>0</v>
      </c>
      <c r="I87" s="1">
        <f t="shared" ca="1" si="49"/>
        <v>0</v>
      </c>
      <c r="J87" s="1">
        <f t="shared" ca="1" si="49"/>
        <v>28.965354494997882</v>
      </c>
      <c r="K87" s="1">
        <f t="shared" ca="1" si="49"/>
        <v>28.965354494997882</v>
      </c>
      <c r="L87" s="1">
        <f t="shared" ca="1" si="49"/>
        <v>212.59944367408752</v>
      </c>
      <c r="M87" s="1">
        <f t="shared" ca="1" si="49"/>
        <v>-16.614335328005836</v>
      </c>
      <c r="N87" s="1">
        <f t="shared" ca="1" si="49"/>
        <v>28.965354494997882</v>
      </c>
      <c r="O87" s="1">
        <f t="shared" ca="1" si="49"/>
        <v>224.95046284096316</v>
      </c>
    </row>
    <row r="88" spans="1:15" x14ac:dyDescent="0.25">
      <c r="A88" s="1" t="s">
        <v>49</v>
      </c>
      <c r="B88" t="s">
        <v>36</v>
      </c>
      <c r="C88" t="s">
        <v>8</v>
      </c>
      <c r="D88" s="1">
        <f t="shared" ca="1" si="49"/>
        <v>920.77123626100365</v>
      </c>
      <c r="E88" s="1">
        <f t="shared" ca="1" si="49"/>
        <v>10.659390209009871</v>
      </c>
      <c r="F88" s="1">
        <f t="shared" ca="1" si="49"/>
        <v>0</v>
      </c>
      <c r="G88" s="1">
        <f t="shared" ca="1" si="49"/>
        <v>931.43062647001352</v>
      </c>
      <c r="H88" s="1">
        <f t="shared" ca="1" si="49"/>
        <v>0</v>
      </c>
      <c r="I88" s="1">
        <f t="shared" ca="1" si="49"/>
        <v>0</v>
      </c>
      <c r="J88" s="1">
        <f t="shared" ca="1" si="49"/>
        <v>529.13546895602485</v>
      </c>
      <c r="K88" s="1">
        <f t="shared" ca="1" si="49"/>
        <v>529.13546895602485</v>
      </c>
      <c r="L88" s="1">
        <f t="shared" ca="1" si="49"/>
        <v>920.77123626100365</v>
      </c>
      <c r="M88" s="1">
        <f t="shared" ca="1" si="49"/>
        <v>10.659390209009871</v>
      </c>
      <c r="N88" s="1">
        <f t="shared" ca="1" si="49"/>
        <v>529.13546895602485</v>
      </c>
      <c r="O88" s="1">
        <f t="shared" ca="1" si="49"/>
        <v>1460.5660954299383</v>
      </c>
    </row>
    <row r="89" spans="1:15" x14ac:dyDescent="0.25">
      <c r="A89" s="1" t="s">
        <v>49</v>
      </c>
      <c r="B89" t="s">
        <v>36</v>
      </c>
      <c r="C89" t="s">
        <v>9</v>
      </c>
      <c r="D89" s="1">
        <f t="shared" ca="1" si="49"/>
        <v>0</v>
      </c>
      <c r="E89" s="1">
        <f t="shared" ca="1" si="49"/>
        <v>0</v>
      </c>
      <c r="F89" s="1">
        <f t="shared" ca="1" si="49"/>
        <v>0.23920942989934701</v>
      </c>
      <c r="G89" s="1">
        <f t="shared" ca="1" si="49"/>
        <v>0.23920942989934701</v>
      </c>
      <c r="H89" s="1">
        <f t="shared" ca="1" si="49"/>
        <v>54.703458517964464</v>
      </c>
      <c r="I89" s="1">
        <f t="shared" ca="1" si="49"/>
        <v>-20.800972336401173</v>
      </c>
      <c r="J89" s="1">
        <f t="shared" ca="1" si="49"/>
        <v>0</v>
      </c>
      <c r="K89" s="1">
        <f t="shared" ca="1" si="49"/>
        <v>33.902486181992572</v>
      </c>
      <c r="L89" s="1">
        <f t="shared" ca="1" si="49"/>
        <v>54.703458517964464</v>
      </c>
      <c r="M89" s="1">
        <f t="shared" ca="1" si="49"/>
        <v>-20.800972336401173</v>
      </c>
      <c r="N89" s="1">
        <f t="shared" ca="1" si="49"/>
        <v>0.23920942989934701</v>
      </c>
      <c r="O89" s="1">
        <f t="shared" ca="1" si="49"/>
        <v>34.141695611004252</v>
      </c>
    </row>
    <row r="90" spans="1:15" x14ac:dyDescent="0.25">
      <c r="A90" s="1" t="s">
        <v>49</v>
      </c>
      <c r="B90" t="s">
        <v>36</v>
      </c>
      <c r="C90" t="s">
        <v>10</v>
      </c>
      <c r="D90" s="1">
        <f t="shared" ca="1" si="49"/>
        <v>0</v>
      </c>
      <c r="E90" s="1">
        <f t="shared" ca="1" si="49"/>
        <v>0</v>
      </c>
      <c r="F90" s="1">
        <f t="shared" ca="1" si="49"/>
        <v>1.931975725099619</v>
      </c>
      <c r="G90" s="1">
        <f t="shared" ca="1" si="49"/>
        <v>1.931975725099619</v>
      </c>
      <c r="H90" s="1">
        <f t="shared" ca="1" si="49"/>
        <v>449.93305467802566</v>
      </c>
      <c r="I90" s="1">
        <f t="shared" ca="1" si="49"/>
        <v>-61.33068047100096</v>
      </c>
      <c r="J90" s="1">
        <f t="shared" ca="1" si="49"/>
        <v>0</v>
      </c>
      <c r="K90" s="1">
        <f t="shared" ca="1" si="49"/>
        <v>388.60237420699559</v>
      </c>
      <c r="L90" s="1">
        <f t="shared" ca="1" si="49"/>
        <v>449.93305467802566</v>
      </c>
      <c r="M90" s="1">
        <f t="shared" ca="1" si="49"/>
        <v>-61.33068047100096</v>
      </c>
      <c r="N90" s="1">
        <f t="shared" ca="1" si="49"/>
        <v>1.931975725099619</v>
      </c>
      <c r="O90" s="1">
        <f t="shared" ca="1" si="49"/>
        <v>390.53434993303381</v>
      </c>
    </row>
    <row r="91" spans="1:15" x14ac:dyDescent="0.25">
      <c r="A91" s="1" t="s">
        <v>49</v>
      </c>
      <c r="B91" t="s">
        <v>36</v>
      </c>
      <c r="C91" t="s">
        <v>11</v>
      </c>
      <c r="D91" s="1">
        <f t="shared" ca="1" si="49"/>
        <v>0</v>
      </c>
      <c r="E91" s="1">
        <f t="shared" ca="1" si="49"/>
        <v>0</v>
      </c>
      <c r="F91" s="1">
        <f t="shared" ca="1" si="49"/>
        <v>32.081831925999722</v>
      </c>
      <c r="G91" s="1">
        <f t="shared" ca="1" si="49"/>
        <v>32.081831925999722</v>
      </c>
      <c r="H91" s="1">
        <f t="shared" ca="1" si="49"/>
        <v>923.80871695297537</v>
      </c>
      <c r="I91" s="1">
        <f t="shared" ca="1" si="49"/>
        <v>-84.261130047401821</v>
      </c>
      <c r="J91" s="1">
        <f t="shared" ca="1" si="49"/>
        <v>0</v>
      </c>
      <c r="K91" s="1">
        <f t="shared" ca="1" si="49"/>
        <v>839.5475869049551</v>
      </c>
      <c r="L91" s="1">
        <f t="shared" ca="1" si="49"/>
        <v>923.80871695297537</v>
      </c>
      <c r="M91" s="1">
        <f t="shared" ca="1" si="49"/>
        <v>-84.261130047401821</v>
      </c>
      <c r="N91" s="1">
        <f t="shared" ca="1" si="49"/>
        <v>32.081831925999722</v>
      </c>
      <c r="O91" s="1">
        <f t="shared" ca="1" si="49"/>
        <v>871.62941883096937</v>
      </c>
    </row>
    <row r="92" spans="1:15" x14ac:dyDescent="0.25">
      <c r="A92" s="1" t="s">
        <v>49</v>
      </c>
      <c r="B92" t="s">
        <v>37</v>
      </c>
      <c r="C92" t="s">
        <v>6</v>
      </c>
      <c r="D92" s="1">
        <f ca="1">D20-D8</f>
        <v>-1204.8343102239887</v>
      </c>
      <c r="E92" s="1">
        <f t="shared" ref="E92:O92" ca="1" si="50">E20-E8</f>
        <v>127.85407859600673</v>
      </c>
      <c r="F92" s="1">
        <f t="shared" ca="1" si="50"/>
        <v>0</v>
      </c>
      <c r="G92" s="1">
        <f t="shared" ca="1" si="50"/>
        <v>-1076.9802316280548</v>
      </c>
      <c r="H92" s="1">
        <f t="shared" ca="1" si="50"/>
        <v>0</v>
      </c>
      <c r="I92" s="1">
        <f t="shared" ca="1" si="50"/>
        <v>0</v>
      </c>
      <c r="J92" s="1">
        <f t="shared" ca="1" si="50"/>
        <v>-22.804171562700503</v>
      </c>
      <c r="K92" s="1">
        <f t="shared" ca="1" si="50"/>
        <v>-22.804171562700503</v>
      </c>
      <c r="L92" s="1">
        <f t="shared" ca="1" si="50"/>
        <v>-1204.8343102239887</v>
      </c>
      <c r="M92" s="1">
        <f t="shared" ca="1" si="50"/>
        <v>127.85407859600673</v>
      </c>
      <c r="N92" s="1">
        <f t="shared" ca="1" si="50"/>
        <v>-22.804171562700503</v>
      </c>
      <c r="O92" s="1">
        <f t="shared" ca="1" si="50"/>
        <v>-1099.7844031909481</v>
      </c>
    </row>
    <row r="93" spans="1:15" x14ac:dyDescent="0.25">
      <c r="A93" s="1" t="s">
        <v>49</v>
      </c>
      <c r="B93" t="s">
        <v>37</v>
      </c>
      <c r="C93" t="s">
        <v>7</v>
      </c>
      <c r="D93" s="1">
        <f t="shared" ref="D93:O97" ca="1" si="51">D21-D9</f>
        <v>-939.92636200797278</v>
      </c>
      <c r="E93" s="1">
        <f t="shared" ca="1" si="51"/>
        <v>12.456958120994386</v>
      </c>
      <c r="F93" s="1">
        <f t="shared" ca="1" si="51"/>
        <v>0</v>
      </c>
      <c r="G93" s="1">
        <f t="shared" ca="1" si="51"/>
        <v>-927.46940388705116</v>
      </c>
      <c r="H93" s="1">
        <f t="shared" ca="1" si="51"/>
        <v>0</v>
      </c>
      <c r="I93" s="1">
        <f t="shared" ca="1" si="51"/>
        <v>0</v>
      </c>
      <c r="J93" s="1">
        <f t="shared" ca="1" si="51"/>
        <v>-105.75206518699997</v>
      </c>
      <c r="K93" s="1">
        <f t="shared" ca="1" si="51"/>
        <v>-105.75206518699997</v>
      </c>
      <c r="L93" s="1">
        <f t="shared" ca="1" si="51"/>
        <v>-939.92636200797278</v>
      </c>
      <c r="M93" s="1">
        <f t="shared" ca="1" si="51"/>
        <v>12.456958120994386</v>
      </c>
      <c r="N93" s="1">
        <f t="shared" ca="1" si="51"/>
        <v>-105.75206518699997</v>
      </c>
      <c r="O93" s="1">
        <f t="shared" ca="1" si="51"/>
        <v>-1033.221469074022</v>
      </c>
    </row>
    <row r="94" spans="1:15" x14ac:dyDescent="0.25">
      <c r="A94" s="1" t="s">
        <v>49</v>
      </c>
      <c r="B94" t="s">
        <v>37</v>
      </c>
      <c r="C94" t="s">
        <v>8</v>
      </c>
      <c r="D94" s="1">
        <f t="shared" ca="1" si="51"/>
        <v>-189.79942683409899</v>
      </c>
      <c r="E94" s="1">
        <f t="shared" ca="1" si="51"/>
        <v>-96.557900248997612</v>
      </c>
      <c r="F94" s="1">
        <f t="shared" ca="1" si="51"/>
        <v>0</v>
      </c>
      <c r="G94" s="1">
        <f t="shared" ca="1" si="51"/>
        <v>-286.3573270830093</v>
      </c>
      <c r="H94" s="1">
        <f t="shared" ca="1" si="51"/>
        <v>0</v>
      </c>
      <c r="I94" s="1">
        <f t="shared" ca="1" si="51"/>
        <v>0</v>
      </c>
      <c r="J94" s="1">
        <f t="shared" ca="1" si="51"/>
        <v>52.479206567979418</v>
      </c>
      <c r="K94" s="1">
        <f t="shared" ca="1" si="51"/>
        <v>52.479206567979418</v>
      </c>
      <c r="L94" s="1">
        <f t="shared" ca="1" si="51"/>
        <v>-189.79942683409899</v>
      </c>
      <c r="M94" s="1">
        <f t="shared" ca="1" si="51"/>
        <v>-96.557900248997612</v>
      </c>
      <c r="N94" s="1">
        <f t="shared" ca="1" si="51"/>
        <v>52.479206567979418</v>
      </c>
      <c r="O94" s="1">
        <f t="shared" ca="1" si="51"/>
        <v>-233.8781205099076</v>
      </c>
    </row>
    <row r="95" spans="1:15" x14ac:dyDescent="0.25">
      <c r="A95" s="1" t="s">
        <v>49</v>
      </c>
      <c r="B95" t="s">
        <v>37</v>
      </c>
      <c r="C95" t="s">
        <v>9</v>
      </c>
      <c r="D95" s="1">
        <f t="shared" ca="1" si="51"/>
        <v>0</v>
      </c>
      <c r="E95" s="1">
        <f t="shared" ca="1" si="51"/>
        <v>0</v>
      </c>
      <c r="F95" s="1">
        <f t="shared" ca="1" si="51"/>
        <v>-11.31973820210078</v>
      </c>
      <c r="G95" s="1">
        <f t="shared" ca="1" si="51"/>
        <v>-11.31973820210078</v>
      </c>
      <c r="H95" s="1">
        <f t="shared" ca="1" si="51"/>
        <v>-932.89051974099129</v>
      </c>
      <c r="I95" s="1">
        <f t="shared" ca="1" si="51"/>
        <v>28.398170160900918</v>
      </c>
      <c r="J95" s="1">
        <f t="shared" ca="1" si="51"/>
        <v>0</v>
      </c>
      <c r="K95" s="1">
        <f t="shared" ca="1" si="51"/>
        <v>-904.49234957998851</v>
      </c>
      <c r="L95" s="1">
        <f t="shared" ca="1" si="51"/>
        <v>-932.89051974099129</v>
      </c>
      <c r="M95" s="1">
        <f t="shared" ca="1" si="51"/>
        <v>28.398170160900918</v>
      </c>
      <c r="N95" s="1">
        <f t="shared" ca="1" si="51"/>
        <v>-11.31973820210078</v>
      </c>
      <c r="O95" s="1">
        <f t="shared" ca="1" si="51"/>
        <v>-915.81208778300788</v>
      </c>
    </row>
    <row r="96" spans="1:15" x14ac:dyDescent="0.25">
      <c r="A96" s="1" t="s">
        <v>49</v>
      </c>
      <c r="B96" t="s">
        <v>37</v>
      </c>
      <c r="C96" t="s">
        <v>10</v>
      </c>
      <c r="D96" s="1">
        <f t="shared" ca="1" si="51"/>
        <v>0</v>
      </c>
      <c r="E96" s="1">
        <f t="shared" ca="1" si="51"/>
        <v>0</v>
      </c>
      <c r="F96" s="1">
        <f t="shared" ca="1" si="51"/>
        <v>-14.754236250999384</v>
      </c>
      <c r="G96" s="1">
        <f t="shared" ca="1" si="51"/>
        <v>-14.754236250999384</v>
      </c>
      <c r="H96" s="1">
        <f t="shared" ca="1" si="51"/>
        <v>-548.33628194901394</v>
      </c>
      <c r="I96" s="1">
        <f t="shared" ca="1" si="51"/>
        <v>-36.968545640396769</v>
      </c>
      <c r="J96" s="1">
        <f t="shared" ca="1" si="51"/>
        <v>0</v>
      </c>
      <c r="K96" s="1">
        <f t="shared" ca="1" si="51"/>
        <v>-585.30482758907601</v>
      </c>
      <c r="L96" s="1">
        <f t="shared" ca="1" si="51"/>
        <v>-548.33628194901394</v>
      </c>
      <c r="M96" s="1">
        <f t="shared" ca="1" si="51"/>
        <v>-36.968545640396769</v>
      </c>
      <c r="N96" s="1">
        <f t="shared" ca="1" si="51"/>
        <v>-14.754236250999384</v>
      </c>
      <c r="O96" s="1">
        <f t="shared" ca="1" si="51"/>
        <v>-600.05906383995898</v>
      </c>
    </row>
    <row r="97" spans="1:15" x14ac:dyDescent="0.25">
      <c r="A97" s="1" t="s">
        <v>49</v>
      </c>
      <c r="B97" t="s">
        <v>37</v>
      </c>
      <c r="C97" t="s">
        <v>11</v>
      </c>
      <c r="D97" s="1">
        <f t="shared" ca="1" si="51"/>
        <v>0</v>
      </c>
      <c r="E97" s="1">
        <f t="shared" ca="1" si="51"/>
        <v>0</v>
      </c>
      <c r="F97" s="1">
        <f t="shared" ca="1" si="51"/>
        <v>-12.630100195699924</v>
      </c>
      <c r="G97" s="1">
        <f t="shared" ca="1" si="51"/>
        <v>-12.630100195699924</v>
      </c>
      <c r="H97" s="1">
        <f t="shared" ca="1" si="51"/>
        <v>12.836967840965372</v>
      </c>
      <c r="I97" s="1">
        <f t="shared" ca="1" si="51"/>
        <v>-76.331013970098866</v>
      </c>
      <c r="J97" s="1">
        <f t="shared" ca="1" si="51"/>
        <v>0</v>
      </c>
      <c r="K97" s="1">
        <f t="shared" ca="1" si="51"/>
        <v>-63.494046128995251</v>
      </c>
      <c r="L97" s="1">
        <f t="shared" ca="1" si="51"/>
        <v>12.836967840965372</v>
      </c>
      <c r="M97" s="1">
        <f t="shared" ca="1" si="51"/>
        <v>-76.331013970098866</v>
      </c>
      <c r="N97" s="1">
        <f t="shared" ca="1" si="51"/>
        <v>-12.630100195699924</v>
      </c>
      <c r="O97" s="1">
        <f t="shared" ca="1" si="51"/>
        <v>-76.124146324931644</v>
      </c>
    </row>
    <row r="98" spans="1:15" x14ac:dyDescent="0.25">
      <c r="A98" s="1" t="s">
        <v>49</v>
      </c>
      <c r="B98" t="s">
        <v>38</v>
      </c>
      <c r="C98" t="s">
        <v>6</v>
      </c>
      <c r="D98" s="1">
        <f ca="1">D26-D8</f>
        <v>3606.9409310669871</v>
      </c>
      <c r="E98" s="1">
        <f t="shared" ref="E98:O98" ca="1" si="52">E26-E8</f>
        <v>-3387.9365889549954</v>
      </c>
      <c r="F98" s="1">
        <f t="shared" ca="1" si="52"/>
        <v>0</v>
      </c>
      <c r="G98" s="1">
        <f t="shared" ca="1" si="52"/>
        <v>219.00434211199172</v>
      </c>
      <c r="H98" s="1">
        <f t="shared" ca="1" si="52"/>
        <v>0</v>
      </c>
      <c r="I98" s="1">
        <f t="shared" ca="1" si="52"/>
        <v>0</v>
      </c>
      <c r="J98" s="1">
        <f t="shared" ca="1" si="52"/>
        <v>-29.515159869202762</v>
      </c>
      <c r="K98" s="1">
        <f t="shared" ca="1" si="52"/>
        <v>-29.515159869202762</v>
      </c>
      <c r="L98" s="1">
        <f t="shared" ca="1" si="52"/>
        <v>3606.9409310669871</v>
      </c>
      <c r="M98" s="1">
        <f t="shared" ca="1" si="52"/>
        <v>-3387.9365889549954</v>
      </c>
      <c r="N98" s="1">
        <f t="shared" ca="1" si="52"/>
        <v>-29.515159869202762</v>
      </c>
      <c r="O98" s="1">
        <f t="shared" ca="1" si="52"/>
        <v>189.48918224300724</v>
      </c>
    </row>
    <row r="99" spans="1:15" x14ac:dyDescent="0.25">
      <c r="A99" s="1" t="s">
        <v>49</v>
      </c>
      <c r="B99" t="s">
        <v>38</v>
      </c>
      <c r="C99" t="s">
        <v>7</v>
      </c>
      <c r="D99" s="1">
        <f t="shared" ref="D99:O103" ca="1" si="53">D27-D9</f>
        <v>8535.0280774900457</v>
      </c>
      <c r="E99" s="1">
        <f t="shared" ca="1" si="53"/>
        <v>-5571.2239010789926</v>
      </c>
      <c r="F99" s="1">
        <f t="shared" ca="1" si="53"/>
        <v>0</v>
      </c>
      <c r="G99" s="1">
        <f t="shared" ca="1" si="53"/>
        <v>2963.8041764110094</v>
      </c>
      <c r="H99" s="1">
        <f t="shared" ca="1" si="53"/>
        <v>0</v>
      </c>
      <c r="I99" s="1">
        <f t="shared" ca="1" si="53"/>
        <v>0</v>
      </c>
      <c r="J99" s="1">
        <f t="shared" ca="1" si="53"/>
        <v>-108.64360023199697</v>
      </c>
      <c r="K99" s="1">
        <f t="shared" ca="1" si="53"/>
        <v>-108.64360023199697</v>
      </c>
      <c r="L99" s="1">
        <f t="shared" ca="1" si="53"/>
        <v>8535.0280774900457</v>
      </c>
      <c r="M99" s="1">
        <f t="shared" ca="1" si="53"/>
        <v>-5571.2239010789926</v>
      </c>
      <c r="N99" s="1">
        <f t="shared" ca="1" si="53"/>
        <v>-108.64360023199697</v>
      </c>
      <c r="O99" s="1">
        <f t="shared" ca="1" si="53"/>
        <v>2855.1605761789251</v>
      </c>
    </row>
    <row r="100" spans="1:15" x14ac:dyDescent="0.25">
      <c r="A100" s="1" t="s">
        <v>49</v>
      </c>
      <c r="B100" t="s">
        <v>38</v>
      </c>
      <c r="C100" t="s">
        <v>8</v>
      </c>
      <c r="D100" s="1">
        <f t="shared" ca="1" si="53"/>
        <v>19090.307320266962</v>
      </c>
      <c r="E100" s="1">
        <f t="shared" ca="1" si="53"/>
        <v>-8919.7391511629976</v>
      </c>
      <c r="F100" s="1">
        <f t="shared" ca="1" si="53"/>
        <v>0</v>
      </c>
      <c r="G100" s="1">
        <f t="shared" ca="1" si="53"/>
        <v>10170.568169104052</v>
      </c>
      <c r="H100" s="1">
        <f t="shared" ca="1" si="53"/>
        <v>0</v>
      </c>
      <c r="I100" s="1">
        <f t="shared" ca="1" si="53"/>
        <v>0</v>
      </c>
      <c r="J100" s="1">
        <f t="shared" ca="1" si="53"/>
        <v>-157.0152792360168</v>
      </c>
      <c r="K100" s="1">
        <f t="shared" ca="1" si="53"/>
        <v>-157.0152792360168</v>
      </c>
      <c r="L100" s="1">
        <f t="shared" ca="1" si="53"/>
        <v>19090.307320266962</v>
      </c>
      <c r="M100" s="1">
        <f t="shared" ca="1" si="53"/>
        <v>-8919.7391511629976</v>
      </c>
      <c r="N100" s="1">
        <f t="shared" ca="1" si="53"/>
        <v>-157.0152792360168</v>
      </c>
      <c r="O100" s="1">
        <f t="shared" ca="1" si="53"/>
        <v>10013.552889870014</v>
      </c>
    </row>
    <row r="101" spans="1:15" x14ac:dyDescent="0.25">
      <c r="A101" s="1" t="s">
        <v>49</v>
      </c>
      <c r="B101" t="s">
        <v>38</v>
      </c>
      <c r="C101" t="s">
        <v>9</v>
      </c>
      <c r="D101" s="1">
        <f t="shared" ca="1" si="53"/>
        <v>0</v>
      </c>
      <c r="E101" s="1">
        <f t="shared" ca="1" si="53"/>
        <v>0</v>
      </c>
      <c r="F101" s="1">
        <f t="shared" ca="1" si="53"/>
        <v>29.232561912698657</v>
      </c>
      <c r="G101" s="1">
        <f t="shared" ca="1" si="53"/>
        <v>29.232561912698657</v>
      </c>
      <c r="H101" s="1">
        <f t="shared" ca="1" si="53"/>
        <v>-808.368543168006</v>
      </c>
      <c r="I101" s="1">
        <f t="shared" ca="1" si="53"/>
        <v>-56.177850301202852</v>
      </c>
      <c r="J101" s="1">
        <f t="shared" ca="1" si="53"/>
        <v>0</v>
      </c>
      <c r="K101" s="1">
        <f t="shared" ca="1" si="53"/>
        <v>-864.54639346897602</v>
      </c>
      <c r="L101" s="1">
        <f t="shared" ca="1" si="53"/>
        <v>-808.368543168006</v>
      </c>
      <c r="M101" s="1">
        <f t="shared" ca="1" si="53"/>
        <v>-56.177850301202852</v>
      </c>
      <c r="N101" s="1">
        <f t="shared" ca="1" si="53"/>
        <v>29.232561912698657</v>
      </c>
      <c r="O101" s="1">
        <f t="shared" ca="1" si="53"/>
        <v>-835.31383155699586</v>
      </c>
    </row>
    <row r="102" spans="1:15" x14ac:dyDescent="0.25">
      <c r="A102" s="1" t="s">
        <v>49</v>
      </c>
      <c r="B102" t="s">
        <v>38</v>
      </c>
      <c r="C102" t="s">
        <v>10</v>
      </c>
      <c r="D102" s="1">
        <f t="shared" ca="1" si="53"/>
        <v>0</v>
      </c>
      <c r="E102" s="1">
        <f t="shared" ca="1" si="53"/>
        <v>0</v>
      </c>
      <c r="F102" s="1">
        <f t="shared" ca="1" si="53"/>
        <v>108.22119046750049</v>
      </c>
      <c r="G102" s="1">
        <f t="shared" ca="1" si="53"/>
        <v>108.22119046750049</v>
      </c>
      <c r="H102" s="1">
        <f t="shared" ca="1" si="53"/>
        <v>-685.16564938699594</v>
      </c>
      <c r="I102" s="1">
        <f t="shared" ca="1" si="53"/>
        <v>496.11030797519925</v>
      </c>
      <c r="J102" s="1">
        <f t="shared" ca="1" si="53"/>
        <v>0</v>
      </c>
      <c r="K102" s="1">
        <f t="shared" ca="1" si="53"/>
        <v>-189.05534141208045</v>
      </c>
      <c r="L102" s="1">
        <f t="shared" ca="1" si="53"/>
        <v>-685.16564938699594</v>
      </c>
      <c r="M102" s="1">
        <f t="shared" ca="1" si="53"/>
        <v>496.11030797519925</v>
      </c>
      <c r="N102" s="1">
        <f t="shared" ca="1" si="53"/>
        <v>108.22119046750049</v>
      </c>
      <c r="O102" s="1">
        <f t="shared" ca="1" si="53"/>
        <v>-80.83415094402153</v>
      </c>
    </row>
    <row r="103" spans="1:15" x14ac:dyDescent="0.25">
      <c r="A103" s="1" t="s">
        <v>49</v>
      </c>
      <c r="B103" t="s">
        <v>38</v>
      </c>
      <c r="C103" t="s">
        <v>11</v>
      </c>
      <c r="D103" s="1">
        <f t="shared" ca="1" si="53"/>
        <v>0</v>
      </c>
      <c r="E103" s="1">
        <f t="shared" ca="1" si="53"/>
        <v>0</v>
      </c>
      <c r="F103" s="1">
        <f t="shared" ca="1" si="53"/>
        <v>839.23053273980258</v>
      </c>
      <c r="G103" s="1">
        <f t="shared" ca="1" si="53"/>
        <v>839.23053273980258</v>
      </c>
      <c r="H103" s="1">
        <f t="shared" ca="1" si="53"/>
        <v>-317.23322983301478</v>
      </c>
      <c r="I103" s="1">
        <f t="shared" ca="1" si="53"/>
        <v>883.67273633500008</v>
      </c>
      <c r="J103" s="1">
        <f t="shared" ca="1" si="53"/>
        <v>0</v>
      </c>
      <c r="K103" s="1">
        <f t="shared" ca="1" si="53"/>
        <v>566.43950650194893</v>
      </c>
      <c r="L103" s="1">
        <f t="shared" ca="1" si="53"/>
        <v>-317.23322983301478</v>
      </c>
      <c r="M103" s="1">
        <f t="shared" ca="1" si="53"/>
        <v>883.67273633500008</v>
      </c>
      <c r="N103" s="1">
        <f t="shared" ca="1" si="53"/>
        <v>839.23053273980258</v>
      </c>
      <c r="O103" s="1">
        <f t="shared" ca="1" si="53"/>
        <v>1405.6700392420171</v>
      </c>
    </row>
    <row r="104" spans="1:15" x14ac:dyDescent="0.25">
      <c r="A104" s="1" t="s">
        <v>49</v>
      </c>
      <c r="B104" t="s">
        <v>39</v>
      </c>
      <c r="C104" t="s">
        <v>6</v>
      </c>
      <c r="D104" s="1">
        <f ca="1">D32-D8</f>
        <v>2874.9836063960101</v>
      </c>
      <c r="E104" s="1">
        <f t="shared" ref="E104:O104" ca="1" si="54">E32-E8</f>
        <v>-3012.3945033479977</v>
      </c>
      <c r="F104" s="1">
        <f t="shared" ca="1" si="54"/>
        <v>0</v>
      </c>
      <c r="G104" s="1">
        <f t="shared" ca="1" si="54"/>
        <v>-137.41089695203118</v>
      </c>
      <c r="H104" s="1">
        <f t="shared" ca="1" si="54"/>
        <v>0</v>
      </c>
      <c r="I104" s="1">
        <f t="shared" ca="1" si="54"/>
        <v>0</v>
      </c>
      <c r="J104" s="1">
        <f t="shared" ca="1" si="54"/>
        <v>-43.868535094799881</v>
      </c>
      <c r="K104" s="1">
        <f t="shared" ca="1" si="54"/>
        <v>-43.868535094799881</v>
      </c>
      <c r="L104" s="1">
        <f t="shared" ca="1" si="54"/>
        <v>2874.9836063960101</v>
      </c>
      <c r="M104" s="1">
        <f t="shared" ca="1" si="54"/>
        <v>-3012.3945033479977</v>
      </c>
      <c r="N104" s="1">
        <f t="shared" ca="1" si="54"/>
        <v>-43.868535094799881</v>
      </c>
      <c r="O104" s="1">
        <f t="shared" ca="1" si="54"/>
        <v>-181.27943204704206</v>
      </c>
    </row>
    <row r="105" spans="1:15" x14ac:dyDescent="0.25">
      <c r="A105" s="1" t="s">
        <v>49</v>
      </c>
      <c r="B105" t="s">
        <v>39</v>
      </c>
      <c r="C105" t="s">
        <v>7</v>
      </c>
      <c r="D105" s="1">
        <f t="shared" ref="D105:O109" ca="1" si="55">D33-D9</f>
        <v>6841.2229895259952</v>
      </c>
      <c r="E105" s="1">
        <f t="shared" ca="1" si="55"/>
        <v>-4753.5027463529987</v>
      </c>
      <c r="F105" s="1">
        <f t="shared" ca="1" si="55"/>
        <v>0</v>
      </c>
      <c r="G105" s="1">
        <f t="shared" ca="1" si="55"/>
        <v>2087.7202431729529</v>
      </c>
      <c r="H105" s="1">
        <f t="shared" ca="1" si="55"/>
        <v>0</v>
      </c>
      <c r="I105" s="1">
        <f t="shared" ca="1" si="55"/>
        <v>0</v>
      </c>
      <c r="J105" s="1">
        <f t="shared" ca="1" si="55"/>
        <v>-131.29799658100819</v>
      </c>
      <c r="K105" s="1">
        <f t="shared" ca="1" si="55"/>
        <v>-131.29799658100819</v>
      </c>
      <c r="L105" s="1">
        <f t="shared" ca="1" si="55"/>
        <v>6841.2229895259952</v>
      </c>
      <c r="M105" s="1">
        <f t="shared" ca="1" si="55"/>
        <v>-4753.5027463529987</v>
      </c>
      <c r="N105" s="1">
        <f t="shared" ca="1" si="55"/>
        <v>-131.29799658100819</v>
      </c>
      <c r="O105" s="1">
        <f t="shared" ca="1" si="55"/>
        <v>1956.4222465929342</v>
      </c>
    </row>
    <row r="106" spans="1:15" x14ac:dyDescent="0.25">
      <c r="A106" s="1" t="s">
        <v>49</v>
      </c>
      <c r="B106" t="s">
        <v>39</v>
      </c>
      <c r="C106" t="s">
        <v>8</v>
      </c>
      <c r="D106" s="1">
        <f t="shared" ca="1" si="55"/>
        <v>14240.375195445959</v>
      </c>
      <c r="E106" s="1">
        <f t="shared" ca="1" si="55"/>
        <v>-7257.4426023989799</v>
      </c>
      <c r="F106" s="1">
        <f t="shared" ca="1" si="55"/>
        <v>0</v>
      </c>
      <c r="G106" s="1">
        <f t="shared" ca="1" si="55"/>
        <v>6982.9325930470368</v>
      </c>
      <c r="H106" s="1">
        <f t="shared" ca="1" si="55"/>
        <v>0</v>
      </c>
      <c r="I106" s="1">
        <f t="shared" ca="1" si="55"/>
        <v>0</v>
      </c>
      <c r="J106" s="1">
        <f t="shared" ca="1" si="55"/>
        <v>-640.90803941601189</v>
      </c>
      <c r="K106" s="1">
        <f t="shared" ca="1" si="55"/>
        <v>-640.90803941601189</v>
      </c>
      <c r="L106" s="1">
        <f t="shared" ca="1" si="55"/>
        <v>14240.375195445959</v>
      </c>
      <c r="M106" s="1">
        <f t="shared" ca="1" si="55"/>
        <v>-7257.4426023989799</v>
      </c>
      <c r="N106" s="1">
        <f t="shared" ca="1" si="55"/>
        <v>-640.90803941601189</v>
      </c>
      <c r="O106" s="1">
        <f t="shared" ca="1" si="55"/>
        <v>6342.0245536300354</v>
      </c>
    </row>
    <row r="107" spans="1:15" x14ac:dyDescent="0.25">
      <c r="A107" s="1" t="s">
        <v>49</v>
      </c>
      <c r="B107" t="s">
        <v>39</v>
      </c>
      <c r="C107" t="s">
        <v>9</v>
      </c>
      <c r="D107" s="1">
        <f t="shared" ca="1" si="55"/>
        <v>0</v>
      </c>
      <c r="E107" s="1">
        <f t="shared" ca="1" si="55"/>
        <v>0</v>
      </c>
      <c r="F107" s="1">
        <f t="shared" ca="1" si="55"/>
        <v>26.414474003398936</v>
      </c>
      <c r="G107" s="1">
        <f t="shared" ca="1" si="55"/>
        <v>26.414474003398936</v>
      </c>
      <c r="H107" s="1">
        <f t="shared" ca="1" si="55"/>
        <v>-848.57024042203557</v>
      </c>
      <c r="I107" s="1">
        <f t="shared" ca="1" si="55"/>
        <v>-62.648092259900295</v>
      </c>
      <c r="J107" s="1">
        <f t="shared" ca="1" si="55"/>
        <v>0</v>
      </c>
      <c r="K107" s="1">
        <f t="shared" ca="1" si="55"/>
        <v>-911.21833268197952</v>
      </c>
      <c r="L107" s="1">
        <f t="shared" ca="1" si="55"/>
        <v>-848.57024042203557</v>
      </c>
      <c r="M107" s="1">
        <f t="shared" ca="1" si="55"/>
        <v>-62.648092259900295</v>
      </c>
      <c r="N107" s="1">
        <f t="shared" ca="1" si="55"/>
        <v>26.414474003398936</v>
      </c>
      <c r="O107" s="1">
        <f t="shared" ca="1" si="55"/>
        <v>-884.80385867902078</v>
      </c>
    </row>
    <row r="108" spans="1:15" x14ac:dyDescent="0.25">
      <c r="A108" s="1" t="s">
        <v>49</v>
      </c>
      <c r="B108" t="s">
        <v>39</v>
      </c>
      <c r="C108" t="s">
        <v>10</v>
      </c>
      <c r="D108" s="1">
        <f t="shared" ca="1" si="55"/>
        <v>0</v>
      </c>
      <c r="E108" s="1">
        <f t="shared" ca="1" si="55"/>
        <v>0</v>
      </c>
      <c r="F108" s="1">
        <f t="shared" ca="1" si="55"/>
        <v>90.269110335500955</v>
      </c>
      <c r="G108" s="1">
        <f t="shared" ca="1" si="55"/>
        <v>90.269110335500955</v>
      </c>
      <c r="H108" s="1">
        <f t="shared" ca="1" si="55"/>
        <v>-1089.4752841709997</v>
      </c>
      <c r="I108" s="1">
        <f t="shared" ca="1" si="55"/>
        <v>455.59370103340189</v>
      </c>
      <c r="J108" s="1">
        <f t="shared" ca="1" si="55"/>
        <v>0</v>
      </c>
      <c r="K108" s="1">
        <f t="shared" ca="1" si="55"/>
        <v>-633.88158313708846</v>
      </c>
      <c r="L108" s="1">
        <f t="shared" ca="1" si="55"/>
        <v>-1089.4752841709997</v>
      </c>
      <c r="M108" s="1">
        <f t="shared" ca="1" si="55"/>
        <v>455.59370103340189</v>
      </c>
      <c r="N108" s="1">
        <f t="shared" ca="1" si="55"/>
        <v>90.269110335500955</v>
      </c>
      <c r="O108" s="1">
        <f t="shared" ca="1" si="55"/>
        <v>-543.61247280205134</v>
      </c>
    </row>
    <row r="109" spans="1:15" x14ac:dyDescent="0.25">
      <c r="A109" s="1" t="s">
        <v>49</v>
      </c>
      <c r="B109" t="s">
        <v>39</v>
      </c>
      <c r="C109" t="s">
        <v>11</v>
      </c>
      <c r="D109" s="1">
        <f t="shared" ca="1" si="55"/>
        <v>0</v>
      </c>
      <c r="E109" s="1">
        <f t="shared" ca="1" si="55"/>
        <v>0</v>
      </c>
      <c r="F109" s="1">
        <f t="shared" ca="1" si="55"/>
        <v>645.26294384320136</v>
      </c>
      <c r="G109" s="1">
        <f t="shared" ca="1" si="55"/>
        <v>645.26294384320136</v>
      </c>
      <c r="H109" s="1">
        <f t="shared" ca="1" si="55"/>
        <v>-1172.0546419610037</v>
      </c>
      <c r="I109" s="1">
        <f t="shared" ca="1" si="55"/>
        <v>797.46814692960106</v>
      </c>
      <c r="J109" s="1">
        <f t="shared" ca="1" si="55"/>
        <v>0</v>
      </c>
      <c r="K109" s="1">
        <f t="shared" ca="1" si="55"/>
        <v>-374.5864950310206</v>
      </c>
      <c r="L109" s="1">
        <f t="shared" ca="1" si="55"/>
        <v>-1172.0546419610037</v>
      </c>
      <c r="M109" s="1">
        <f t="shared" ca="1" si="55"/>
        <v>797.46814692960106</v>
      </c>
      <c r="N109" s="1">
        <f t="shared" ca="1" si="55"/>
        <v>645.26294384320136</v>
      </c>
      <c r="O109" s="1">
        <f t="shared" ca="1" si="55"/>
        <v>270.6764488130575</v>
      </c>
    </row>
    <row r="110" spans="1:15" x14ac:dyDescent="0.25">
      <c r="A110" s="1" t="s">
        <v>50</v>
      </c>
      <c r="B110" t="s">
        <v>36</v>
      </c>
      <c r="C110" t="s">
        <v>6</v>
      </c>
      <c r="D110" s="14">
        <f ca="1">IF(D8 = 0, 0, D86/D8)</f>
        <v>1.6135464110711903E-4</v>
      </c>
      <c r="E110" s="14">
        <f t="shared" ref="E110:O110" ca="1" si="56">IF(E8 = 0, 0, E86/E8)</f>
        <v>-7.4939463559738943E-5</v>
      </c>
      <c r="F110" s="14">
        <f t="shared" ca="1" si="56"/>
        <v>0</v>
      </c>
      <c r="G110" s="14">
        <f t="shared" ca="1" si="56"/>
        <v>1.1529225505571288E-4</v>
      </c>
      <c r="H110" s="14">
        <f t="shared" ca="1" si="56"/>
        <v>0</v>
      </c>
      <c r="I110" s="14">
        <f t="shared" ca="1" si="56"/>
        <v>0</v>
      </c>
      <c r="J110" s="14">
        <f t="shared" ca="1" si="56"/>
        <v>5.5999762329587402E-4</v>
      </c>
      <c r="K110" s="14">
        <f t="shared" ca="1" si="56"/>
        <v>5.5999762329587402E-4</v>
      </c>
      <c r="L110" s="14">
        <f t="shared" ca="1" si="56"/>
        <v>1.6135464110711903E-4</v>
      </c>
      <c r="M110" s="14">
        <f t="shared" ca="1" si="56"/>
        <v>-7.4939463559738943E-5</v>
      </c>
      <c r="N110" s="14">
        <f t="shared" ca="1" si="56"/>
        <v>5.5999762329587402E-4</v>
      </c>
      <c r="O110" s="14">
        <f t="shared" ca="1" si="56"/>
        <v>1.3569073766746007E-4</v>
      </c>
    </row>
    <row r="111" spans="1:15" x14ac:dyDescent="0.25">
      <c r="A111" s="1" t="s">
        <v>50</v>
      </c>
      <c r="B111" t="s">
        <v>36</v>
      </c>
      <c r="C111" t="s">
        <v>7</v>
      </c>
      <c r="D111" s="14">
        <f t="shared" ref="D111:O115" ca="1" si="57">IF(D9 = 0, 0, D87/D9)</f>
        <v>3.9490301900700078E-4</v>
      </c>
      <c r="E111" s="14">
        <f t="shared" ca="1" si="57"/>
        <v>-1.292498486456038E-4</v>
      </c>
      <c r="F111" s="14">
        <f t="shared" ca="1" si="57"/>
        <v>0</v>
      </c>
      <c r="G111" s="14">
        <f t="shared" ca="1" si="57"/>
        <v>2.9387350670422225E-4</v>
      </c>
      <c r="H111" s="14">
        <f t="shared" ca="1" si="57"/>
        <v>0</v>
      </c>
      <c r="I111" s="14">
        <f t="shared" ca="1" si="57"/>
        <v>0</v>
      </c>
      <c r="J111" s="14">
        <f t="shared" ca="1" si="57"/>
        <v>2.4968874085942451E-4</v>
      </c>
      <c r="K111" s="14">
        <f t="shared" ca="1" si="57"/>
        <v>2.4968874085942451E-4</v>
      </c>
      <c r="L111" s="14">
        <f t="shared" ca="1" si="57"/>
        <v>3.9490301900700078E-4</v>
      </c>
      <c r="M111" s="14">
        <f t="shared" ca="1" si="57"/>
        <v>-1.292498486456038E-4</v>
      </c>
      <c r="N111" s="14">
        <f t="shared" ca="1" si="57"/>
        <v>2.4968874085942451E-4</v>
      </c>
      <c r="O111" s="14">
        <f t="shared" ca="1" si="57"/>
        <v>2.8732652280938852E-4</v>
      </c>
    </row>
    <row r="112" spans="1:15" x14ac:dyDescent="0.25">
      <c r="A112" s="1" t="s">
        <v>50</v>
      </c>
      <c r="B112" t="s">
        <v>36</v>
      </c>
      <c r="C112" t="s">
        <v>8</v>
      </c>
      <c r="D112" s="14">
        <f t="shared" ca="1" si="57"/>
        <v>1.4907258612966575E-3</v>
      </c>
      <c r="E112" s="14">
        <f t="shared" ca="1" si="57"/>
        <v>7.1474734500252016E-5</v>
      </c>
      <c r="F112" s="14">
        <f t="shared" ca="1" si="57"/>
        <v>0</v>
      </c>
      <c r="G112" s="14">
        <f t="shared" ca="1" si="57"/>
        <v>1.2146959596596313E-3</v>
      </c>
      <c r="H112" s="14">
        <f t="shared" ca="1" si="57"/>
        <v>0</v>
      </c>
      <c r="I112" s="14">
        <f t="shared" ca="1" si="57"/>
        <v>0</v>
      </c>
      <c r="J112" s="14">
        <f t="shared" ca="1" si="57"/>
        <v>1.8264170618551617E-3</v>
      </c>
      <c r="K112" s="14">
        <f t="shared" ca="1" si="57"/>
        <v>1.8264170618551617E-3</v>
      </c>
      <c r="L112" s="14">
        <f t="shared" ca="1" si="57"/>
        <v>1.4907258612966575E-3</v>
      </c>
      <c r="M112" s="14">
        <f t="shared" ca="1" si="57"/>
        <v>7.1474734500252016E-5</v>
      </c>
      <c r="N112" s="14">
        <f t="shared" ca="1" si="57"/>
        <v>1.8264170618551617E-3</v>
      </c>
      <c r="O112" s="14">
        <f t="shared" ca="1" si="57"/>
        <v>1.3824392781505122E-3</v>
      </c>
    </row>
    <row r="113" spans="1:15" x14ac:dyDescent="0.25">
      <c r="A113" s="1" t="s">
        <v>50</v>
      </c>
      <c r="B113" t="s">
        <v>36</v>
      </c>
      <c r="C113" t="s">
        <v>9</v>
      </c>
      <c r="D113" s="14">
        <f t="shared" ca="1" si="57"/>
        <v>0</v>
      </c>
      <c r="E113" s="14">
        <f t="shared" ca="1" si="57"/>
        <v>0</v>
      </c>
      <c r="F113" s="14">
        <f t="shared" ca="1" si="57"/>
        <v>2.1198638581318605E-5</v>
      </c>
      <c r="G113" s="14">
        <f t="shared" ca="1" si="57"/>
        <v>2.1198638581318605E-5</v>
      </c>
      <c r="H113" s="14">
        <f t="shared" ca="1" si="57"/>
        <v>1.2156045202642475E-4</v>
      </c>
      <c r="I113" s="14">
        <f t="shared" ca="1" si="57"/>
        <v>-4.8442171512956176E-4</v>
      </c>
      <c r="J113" s="14">
        <f t="shared" ca="1" si="57"/>
        <v>0</v>
      </c>
      <c r="K113" s="14">
        <f t="shared" ca="1" si="57"/>
        <v>6.8774677915744458E-5</v>
      </c>
      <c r="L113" s="14">
        <f t="shared" ca="1" si="57"/>
        <v>1.2156045202642475E-4</v>
      </c>
      <c r="M113" s="14">
        <f t="shared" ca="1" si="57"/>
        <v>-4.8442171512956176E-4</v>
      </c>
      <c r="N113" s="14">
        <f t="shared" ca="1" si="57"/>
        <v>2.1198638581318605E-5</v>
      </c>
      <c r="O113" s="14">
        <f t="shared" ca="1" si="57"/>
        <v>6.7709980467615E-5</v>
      </c>
    </row>
    <row r="114" spans="1:15" x14ac:dyDescent="0.25">
      <c r="A114" s="1" t="s">
        <v>50</v>
      </c>
      <c r="B114" t="s">
        <v>36</v>
      </c>
      <c r="C114" t="s">
        <v>10</v>
      </c>
      <c r="D114" s="14">
        <f t="shared" ca="1" si="57"/>
        <v>0</v>
      </c>
      <c r="E114" s="14">
        <f t="shared" ca="1" si="57"/>
        <v>0</v>
      </c>
      <c r="F114" s="14">
        <f t="shared" ca="1" si="57"/>
        <v>1.4437153531894091E-4</v>
      </c>
      <c r="G114" s="14">
        <f t="shared" ca="1" si="57"/>
        <v>1.4437153531894091E-4</v>
      </c>
      <c r="H114" s="14">
        <f t="shared" ca="1" si="57"/>
        <v>8.977486337977251E-4</v>
      </c>
      <c r="I114" s="14">
        <f t="shared" ca="1" si="57"/>
        <v>-1.702517495559586E-3</v>
      </c>
      <c r="J114" s="14">
        <f t="shared" ca="1" si="57"/>
        <v>0</v>
      </c>
      <c r="K114" s="14">
        <f t="shared" ca="1" si="57"/>
        <v>7.2338107359643227E-4</v>
      </c>
      <c r="L114" s="14">
        <f t="shared" ca="1" si="57"/>
        <v>8.977486337977251E-4</v>
      </c>
      <c r="M114" s="14">
        <f t="shared" ca="1" si="57"/>
        <v>-1.702517495559586E-3</v>
      </c>
      <c r="N114" s="14">
        <f t="shared" ca="1" si="57"/>
        <v>1.4437153531894091E-4</v>
      </c>
      <c r="O114" s="14">
        <f t="shared" ca="1" si="57"/>
        <v>7.0930823929486861E-4</v>
      </c>
    </row>
    <row r="115" spans="1:15" x14ac:dyDescent="0.25">
      <c r="A115" s="1" t="s">
        <v>50</v>
      </c>
      <c r="B115" t="s">
        <v>36</v>
      </c>
      <c r="C115" t="s">
        <v>11</v>
      </c>
      <c r="D115" s="14">
        <f t="shared" ca="1" si="57"/>
        <v>0</v>
      </c>
      <c r="E115" s="14">
        <f t="shared" ca="1" si="57"/>
        <v>0</v>
      </c>
      <c r="F115" s="14">
        <f t="shared" ca="1" si="57"/>
        <v>1.032368589981946E-3</v>
      </c>
      <c r="G115" s="14">
        <f t="shared" ca="1" si="57"/>
        <v>1.032368589981946E-3</v>
      </c>
      <c r="H115" s="14">
        <f t="shared" ca="1" si="57"/>
        <v>1.888669707690991E-3</v>
      </c>
      <c r="I115" s="14">
        <f t="shared" ca="1" si="57"/>
        <v>-3.2967282058065264E-3</v>
      </c>
      <c r="J115" s="14">
        <f t="shared" ca="1" si="57"/>
        <v>0</v>
      </c>
      <c r="K115" s="14">
        <f t="shared" ca="1" si="57"/>
        <v>1.6311682633247681E-3</v>
      </c>
      <c r="L115" s="14">
        <f t="shared" ca="1" si="57"/>
        <v>1.888669707690991E-3</v>
      </c>
      <c r="M115" s="14">
        <f t="shared" ca="1" si="57"/>
        <v>-3.2967282058065264E-3</v>
      </c>
      <c r="N115" s="14">
        <f t="shared" ca="1" si="57"/>
        <v>1.032368589981946E-3</v>
      </c>
      <c r="O115" s="14">
        <f t="shared" ca="1" si="57"/>
        <v>1.5970726333336481E-3</v>
      </c>
    </row>
    <row r="116" spans="1:15" x14ac:dyDescent="0.25">
      <c r="A116" s="1" t="s">
        <v>50</v>
      </c>
      <c r="B116" t="s">
        <v>37</v>
      </c>
      <c r="C116" t="s">
        <v>6</v>
      </c>
      <c r="D116" s="14">
        <f ca="1">IF(D8 = 0, 0, D92/D8)</f>
        <v>-2.3417018574712384E-3</v>
      </c>
      <c r="E116" s="14">
        <f t="shared" ref="E116:O116" ca="1" si="58">IF(E8 = 0, 0, E92/E8)</f>
        <v>1.0262551778555918E-3</v>
      </c>
      <c r="F116" s="14">
        <f t="shared" ca="1" si="58"/>
        <v>0</v>
      </c>
      <c r="G116" s="14">
        <f t="shared" ca="1" si="58"/>
        <v>-1.6851635262058687E-3</v>
      </c>
      <c r="H116" s="14">
        <f t="shared" ca="1" si="58"/>
        <v>0</v>
      </c>
      <c r="I116" s="14">
        <f t="shared" ca="1" si="58"/>
        <v>0</v>
      </c>
      <c r="J116" s="14">
        <f t="shared" ca="1" si="58"/>
        <v>-7.4221689427617543E-4</v>
      </c>
      <c r="K116" s="14">
        <f t="shared" ca="1" si="58"/>
        <v>-7.4221689427617543E-4</v>
      </c>
      <c r="L116" s="14">
        <f t="shared" ca="1" si="58"/>
        <v>-2.3417018574712384E-3</v>
      </c>
      <c r="M116" s="14">
        <f t="shared" ca="1" si="58"/>
        <v>1.0262551778555918E-3</v>
      </c>
      <c r="N116" s="14">
        <f t="shared" ca="1" si="58"/>
        <v>-7.4221689427617543E-4</v>
      </c>
      <c r="O116" s="14">
        <f t="shared" ca="1" si="58"/>
        <v>-1.6419108878328102E-3</v>
      </c>
    </row>
    <row r="117" spans="1:15" x14ac:dyDescent="0.25">
      <c r="A117" s="1" t="s">
        <v>50</v>
      </c>
      <c r="B117" t="s">
        <v>37</v>
      </c>
      <c r="C117" t="s">
        <v>7</v>
      </c>
      <c r="D117" s="14">
        <f t="shared" ref="D117:O121" ca="1" si="59">IF(D9 = 0, 0, D93/D9)</f>
        <v>-1.7459112384613283E-3</v>
      </c>
      <c r="E117" s="14">
        <f t="shared" ca="1" si="59"/>
        <v>9.6907876236803966E-5</v>
      </c>
      <c r="F117" s="14">
        <f t="shared" ca="1" si="59"/>
        <v>0</v>
      </c>
      <c r="G117" s="14">
        <f t="shared" ca="1" si="59"/>
        <v>-1.3907112044452088E-3</v>
      </c>
      <c r="H117" s="14">
        <f t="shared" ca="1" si="59"/>
        <v>0</v>
      </c>
      <c r="I117" s="14">
        <f t="shared" ca="1" si="59"/>
        <v>0</v>
      </c>
      <c r="J117" s="14">
        <f t="shared" ca="1" si="59"/>
        <v>-9.1160976484461046E-4</v>
      </c>
      <c r="K117" s="14">
        <f t="shared" ca="1" si="59"/>
        <v>-9.1160976484461046E-4</v>
      </c>
      <c r="L117" s="14">
        <f t="shared" ca="1" si="59"/>
        <v>-1.7459112384613283E-3</v>
      </c>
      <c r="M117" s="14">
        <f t="shared" ca="1" si="59"/>
        <v>9.6907876236803966E-5</v>
      </c>
      <c r="N117" s="14">
        <f t="shared" ca="1" si="59"/>
        <v>-9.1160976484461046E-4</v>
      </c>
      <c r="O117" s="14">
        <f t="shared" ca="1" si="59"/>
        <v>-1.3197213655476282E-3</v>
      </c>
    </row>
    <row r="118" spans="1:15" x14ac:dyDescent="0.25">
      <c r="A118" s="1" t="s">
        <v>50</v>
      </c>
      <c r="B118" t="s">
        <v>37</v>
      </c>
      <c r="C118" t="s">
        <v>8</v>
      </c>
      <c r="D118" s="14">
        <f t="shared" ca="1" si="59"/>
        <v>-3.0728470101847505E-4</v>
      </c>
      <c r="E118" s="14">
        <f t="shared" ca="1" si="59"/>
        <v>-6.4745263555184018E-4</v>
      </c>
      <c r="F118" s="14">
        <f t="shared" ca="1" si="59"/>
        <v>0</v>
      </c>
      <c r="G118" s="14">
        <f t="shared" ca="1" si="59"/>
        <v>-3.7344390268217271E-4</v>
      </c>
      <c r="H118" s="14">
        <f t="shared" ca="1" si="59"/>
        <v>0</v>
      </c>
      <c r="I118" s="14">
        <f t="shared" ca="1" si="59"/>
        <v>0</v>
      </c>
      <c r="J118" s="14">
        <f t="shared" ca="1" si="59"/>
        <v>1.8114249354231977E-4</v>
      </c>
      <c r="K118" s="14">
        <f t="shared" ca="1" si="59"/>
        <v>1.8114249354231977E-4</v>
      </c>
      <c r="L118" s="14">
        <f t="shared" ca="1" si="59"/>
        <v>-3.0728470101847505E-4</v>
      </c>
      <c r="M118" s="14">
        <f t="shared" ca="1" si="59"/>
        <v>-6.4745263555184018E-4</v>
      </c>
      <c r="N118" s="14">
        <f t="shared" ca="1" si="59"/>
        <v>1.8114249354231977E-4</v>
      </c>
      <c r="O118" s="14">
        <f t="shared" ca="1" si="59"/>
        <v>-2.2136779780427581E-4</v>
      </c>
    </row>
    <row r="119" spans="1:15" x14ac:dyDescent="0.25">
      <c r="A119" s="1" t="s">
        <v>50</v>
      </c>
      <c r="B119" t="s">
        <v>37</v>
      </c>
      <c r="C119" t="s">
        <v>9</v>
      </c>
      <c r="D119" s="14">
        <f t="shared" ca="1" si="59"/>
        <v>0</v>
      </c>
      <c r="E119" s="14">
        <f t="shared" ca="1" si="59"/>
        <v>0</v>
      </c>
      <c r="F119" s="14">
        <f t="shared" ca="1" si="59"/>
        <v>-1.0031504154432783E-3</v>
      </c>
      <c r="G119" s="14">
        <f t="shared" ca="1" si="59"/>
        <v>-1.0031504154432783E-3</v>
      </c>
      <c r="H119" s="14">
        <f t="shared" ca="1" si="59"/>
        <v>-2.073042479272862E-3</v>
      </c>
      <c r="I119" s="14">
        <f t="shared" ca="1" si="59"/>
        <v>6.6134842513159385E-4</v>
      </c>
      <c r="J119" s="14">
        <f t="shared" ca="1" si="59"/>
        <v>0</v>
      </c>
      <c r="K119" s="14">
        <f t="shared" ca="1" si="59"/>
        <v>-1.8348557001303251E-3</v>
      </c>
      <c r="L119" s="14">
        <f t="shared" ca="1" si="59"/>
        <v>-2.073042479272862E-3</v>
      </c>
      <c r="M119" s="14">
        <f t="shared" ca="1" si="59"/>
        <v>6.6134842513159385E-4</v>
      </c>
      <c r="N119" s="14">
        <f t="shared" ca="1" si="59"/>
        <v>-1.0031504154432783E-3</v>
      </c>
      <c r="O119" s="14">
        <f t="shared" ca="1" si="59"/>
        <v>-1.8162430853553384E-3</v>
      </c>
    </row>
    <row r="120" spans="1:15" x14ac:dyDescent="0.25">
      <c r="A120" s="1" t="s">
        <v>50</v>
      </c>
      <c r="B120" t="s">
        <v>37</v>
      </c>
      <c r="C120" t="s">
        <v>10</v>
      </c>
      <c r="D120" s="14">
        <f t="shared" ca="1" si="59"/>
        <v>0</v>
      </c>
      <c r="E120" s="14">
        <f t="shared" ca="1" si="59"/>
        <v>0</v>
      </c>
      <c r="F120" s="14">
        <f t="shared" ca="1" si="59"/>
        <v>-1.1025458096298396E-3</v>
      </c>
      <c r="G120" s="14">
        <f t="shared" ca="1" si="59"/>
        <v>-1.1025458096298396E-3</v>
      </c>
      <c r="H120" s="14">
        <f t="shared" ca="1" si="59"/>
        <v>-1.0940919829367083E-3</v>
      </c>
      <c r="I120" s="14">
        <f t="shared" ca="1" si="59"/>
        <v>-1.0262334488189534E-3</v>
      </c>
      <c r="J120" s="14">
        <f t="shared" ca="1" si="59"/>
        <v>0</v>
      </c>
      <c r="K120" s="14">
        <f t="shared" ca="1" si="59"/>
        <v>-1.0895415536937255E-3</v>
      </c>
      <c r="L120" s="14">
        <f t="shared" ca="1" si="59"/>
        <v>-1.0940919829367083E-3</v>
      </c>
      <c r="M120" s="14">
        <f t="shared" ca="1" si="59"/>
        <v>-1.0262334488189534E-3</v>
      </c>
      <c r="N120" s="14">
        <f t="shared" ca="1" si="59"/>
        <v>-1.1025458096298396E-3</v>
      </c>
      <c r="O120" s="14">
        <f t="shared" ca="1" si="59"/>
        <v>-1.089857622301936E-3</v>
      </c>
    </row>
    <row r="121" spans="1:15" x14ac:dyDescent="0.25">
      <c r="A121" s="1" t="s">
        <v>50</v>
      </c>
      <c r="B121" t="s">
        <v>37</v>
      </c>
      <c r="C121" t="s">
        <v>11</v>
      </c>
      <c r="D121" s="14">
        <f t="shared" ca="1" si="59"/>
        <v>0</v>
      </c>
      <c r="E121" s="14">
        <f t="shared" ca="1" si="59"/>
        <v>0</v>
      </c>
      <c r="F121" s="14">
        <f t="shared" ca="1" si="59"/>
        <v>-4.0642687613478976E-4</v>
      </c>
      <c r="G121" s="14">
        <f t="shared" ca="1" si="59"/>
        <v>-4.0642687613478976E-4</v>
      </c>
      <c r="H121" s="14">
        <f t="shared" ca="1" si="59"/>
        <v>2.6244385720673875E-5</v>
      </c>
      <c r="I121" s="14">
        <f t="shared" ca="1" si="59"/>
        <v>-2.9864613326627976E-3</v>
      </c>
      <c r="J121" s="14">
        <f t="shared" ca="1" si="59"/>
        <v>0</v>
      </c>
      <c r="K121" s="14">
        <f t="shared" ca="1" si="59"/>
        <v>-1.2336343355772274E-4</v>
      </c>
      <c r="L121" s="14">
        <f t="shared" ca="1" si="59"/>
        <v>2.6244385720673875E-5</v>
      </c>
      <c r="M121" s="14">
        <f t="shared" ca="1" si="59"/>
        <v>-2.9864613326627976E-3</v>
      </c>
      <c r="N121" s="14">
        <f t="shared" ca="1" si="59"/>
        <v>-4.0642687613478976E-4</v>
      </c>
      <c r="O121" s="14">
        <f t="shared" ca="1" si="59"/>
        <v>-1.3948105491263954E-4</v>
      </c>
    </row>
    <row r="122" spans="1:15" x14ac:dyDescent="0.25">
      <c r="A122" s="1" t="s">
        <v>50</v>
      </c>
      <c r="B122" t="s">
        <v>38</v>
      </c>
      <c r="C122" t="s">
        <v>6</v>
      </c>
      <c r="D122" s="14">
        <f ca="1">IF(D8 = 0, 0, D98/D8)</f>
        <v>7.010408158527914E-3</v>
      </c>
      <c r="E122" s="14">
        <f t="shared" ref="E122:O122" ca="1" si="60">IF(E8 = 0, 0, E98/E8)</f>
        <v>-2.7194185002480394E-2</v>
      </c>
      <c r="F122" s="14">
        <f t="shared" ca="1" si="60"/>
        <v>0</v>
      </c>
      <c r="G122" s="14">
        <f t="shared" ca="1" si="60"/>
        <v>3.4267864773148234E-4</v>
      </c>
      <c r="H122" s="14">
        <f t="shared" ca="1" si="60"/>
        <v>0</v>
      </c>
      <c r="I122" s="14">
        <f t="shared" ca="1" si="60"/>
        <v>0</v>
      </c>
      <c r="J122" s="14">
        <f t="shared" ca="1" si="60"/>
        <v>-9.606422330209072E-4</v>
      </c>
      <c r="K122" s="14">
        <f t="shared" ca="1" si="60"/>
        <v>-9.606422330209072E-4</v>
      </c>
      <c r="L122" s="14">
        <f t="shared" ca="1" si="60"/>
        <v>7.010408158527914E-3</v>
      </c>
      <c r="M122" s="14">
        <f t="shared" ca="1" si="60"/>
        <v>-2.7194185002480394E-2</v>
      </c>
      <c r="N122" s="14">
        <f t="shared" ca="1" si="60"/>
        <v>-9.606422330209072E-4</v>
      </c>
      <c r="O122" s="14">
        <f t="shared" ca="1" si="60"/>
        <v>2.8289576625075194E-4</v>
      </c>
    </row>
    <row r="123" spans="1:15" x14ac:dyDescent="0.25">
      <c r="A123" s="1" t="s">
        <v>50</v>
      </c>
      <c r="B123" t="s">
        <v>38</v>
      </c>
      <c r="C123" t="s">
        <v>7</v>
      </c>
      <c r="D123" s="14">
        <f t="shared" ref="D123:O127" ca="1" si="61">IF(D9 = 0, 0, D99/D9)</f>
        <v>1.5853796683858154E-2</v>
      </c>
      <c r="E123" s="14">
        <f t="shared" ca="1" si="61"/>
        <v>-4.3340875922459124E-2</v>
      </c>
      <c r="F123" s="14">
        <f t="shared" ca="1" si="61"/>
        <v>0</v>
      </c>
      <c r="G123" s="14">
        <f t="shared" ca="1" si="61"/>
        <v>4.4441311580109598E-3</v>
      </c>
      <c r="H123" s="14">
        <f t="shared" ca="1" si="61"/>
        <v>0</v>
      </c>
      <c r="I123" s="14">
        <f t="shared" ca="1" si="61"/>
        <v>0</v>
      </c>
      <c r="J123" s="14">
        <f t="shared" ca="1" si="61"/>
        <v>-9.3653553416881753E-4</v>
      </c>
      <c r="K123" s="14">
        <f t="shared" ca="1" si="61"/>
        <v>-9.3653553416881753E-4</v>
      </c>
      <c r="L123" s="14">
        <f t="shared" ca="1" si="61"/>
        <v>1.5853796683858154E-2</v>
      </c>
      <c r="M123" s="14">
        <f t="shared" ca="1" si="61"/>
        <v>-4.3340875922459124E-2</v>
      </c>
      <c r="N123" s="14">
        <f t="shared" ca="1" si="61"/>
        <v>-9.3653553416881753E-4</v>
      </c>
      <c r="O123" s="14">
        <f t="shared" ca="1" si="61"/>
        <v>3.6468622916145154E-3</v>
      </c>
    </row>
    <row r="124" spans="1:15" x14ac:dyDescent="0.25">
      <c r="A124" s="1" t="s">
        <v>50</v>
      </c>
      <c r="B124" t="s">
        <v>38</v>
      </c>
      <c r="C124" t="s">
        <v>8</v>
      </c>
      <c r="D124" s="14">
        <f t="shared" ca="1" si="61"/>
        <v>3.090715011687873E-2</v>
      </c>
      <c r="E124" s="14">
        <f t="shared" ca="1" si="61"/>
        <v>-5.9809799166747821E-2</v>
      </c>
      <c r="F124" s="14">
        <f t="shared" ca="1" si="61"/>
        <v>0</v>
      </c>
      <c r="G124" s="14">
        <f t="shared" ca="1" si="61"/>
        <v>1.3263626631297242E-2</v>
      </c>
      <c r="H124" s="14">
        <f t="shared" ca="1" si="61"/>
        <v>0</v>
      </c>
      <c r="I124" s="14">
        <f t="shared" ca="1" si="61"/>
        <v>0</v>
      </c>
      <c r="J124" s="14">
        <f t="shared" ca="1" si="61"/>
        <v>-5.4196968790320651E-4</v>
      </c>
      <c r="K124" s="14">
        <f t="shared" ca="1" si="61"/>
        <v>-5.4196968790320651E-4</v>
      </c>
      <c r="L124" s="14">
        <f t="shared" ca="1" si="61"/>
        <v>3.090715011687873E-2</v>
      </c>
      <c r="M124" s="14">
        <f t="shared" ca="1" si="61"/>
        <v>-5.9809799166747821E-2</v>
      </c>
      <c r="N124" s="14">
        <f t="shared" ca="1" si="61"/>
        <v>-5.4196968790320651E-4</v>
      </c>
      <c r="O124" s="14">
        <f t="shared" ca="1" si="61"/>
        <v>9.4779201517196359E-3</v>
      </c>
    </row>
    <row r="125" spans="1:15" x14ac:dyDescent="0.25">
      <c r="A125" s="1" t="s">
        <v>50</v>
      </c>
      <c r="B125" t="s">
        <v>38</v>
      </c>
      <c r="C125" t="s">
        <v>9</v>
      </c>
      <c r="D125" s="14">
        <f t="shared" ca="1" si="61"/>
        <v>0</v>
      </c>
      <c r="E125" s="14">
        <f t="shared" ca="1" si="61"/>
        <v>0</v>
      </c>
      <c r="F125" s="14">
        <f t="shared" ca="1" si="61"/>
        <v>2.5905772822336806E-3</v>
      </c>
      <c r="G125" s="14">
        <f t="shared" ca="1" si="61"/>
        <v>2.5905772822336806E-3</v>
      </c>
      <c r="H125" s="14">
        <f t="shared" ca="1" si="61"/>
        <v>-1.7963333246868677E-3</v>
      </c>
      <c r="I125" s="14">
        <f t="shared" ca="1" si="61"/>
        <v>-1.3082931968318157E-3</v>
      </c>
      <c r="J125" s="14">
        <f t="shared" ca="1" si="61"/>
        <v>0</v>
      </c>
      <c r="K125" s="14">
        <f t="shared" ca="1" si="61"/>
        <v>-1.7538212222804213E-3</v>
      </c>
      <c r="L125" s="14">
        <f t="shared" ca="1" si="61"/>
        <v>-1.7963333246868677E-3</v>
      </c>
      <c r="M125" s="14">
        <f t="shared" ca="1" si="61"/>
        <v>-1.3082931968318157E-3</v>
      </c>
      <c r="N125" s="14">
        <f t="shared" ca="1" si="61"/>
        <v>2.5905772822336806E-3</v>
      </c>
      <c r="O125" s="14">
        <f t="shared" ca="1" si="61"/>
        <v>-1.6565985434192439E-3</v>
      </c>
    </row>
    <row r="126" spans="1:15" x14ac:dyDescent="0.25">
      <c r="A126" s="1" t="s">
        <v>50</v>
      </c>
      <c r="B126" t="s">
        <v>38</v>
      </c>
      <c r="C126" t="s">
        <v>10</v>
      </c>
      <c r="D126" s="14">
        <f t="shared" ca="1" si="61"/>
        <v>0</v>
      </c>
      <c r="E126" s="14">
        <f t="shared" ca="1" si="61"/>
        <v>0</v>
      </c>
      <c r="F126" s="14">
        <f t="shared" ca="1" si="61"/>
        <v>8.0870888898104294E-3</v>
      </c>
      <c r="G126" s="14">
        <f t="shared" ca="1" si="61"/>
        <v>8.0870888898104294E-3</v>
      </c>
      <c r="H126" s="14">
        <f t="shared" ca="1" si="61"/>
        <v>-1.3671067712561818E-3</v>
      </c>
      <c r="I126" s="14">
        <f t="shared" ca="1" si="61"/>
        <v>1.3771842617246051E-2</v>
      </c>
      <c r="J126" s="14">
        <f t="shared" ca="1" si="61"/>
        <v>0</v>
      </c>
      <c r="K126" s="14">
        <f t="shared" ca="1" si="61"/>
        <v>-3.5192542536285117E-4</v>
      </c>
      <c r="L126" s="14">
        <f t="shared" ca="1" si="61"/>
        <v>-1.3671067712561818E-3</v>
      </c>
      <c r="M126" s="14">
        <f t="shared" ca="1" si="61"/>
        <v>1.3771842617246051E-2</v>
      </c>
      <c r="N126" s="14">
        <f t="shared" ca="1" si="61"/>
        <v>8.0870888898104294E-3</v>
      </c>
      <c r="O126" s="14">
        <f t="shared" ca="1" si="61"/>
        <v>-1.4681507347773939E-4</v>
      </c>
    </row>
    <row r="127" spans="1:15" x14ac:dyDescent="0.25">
      <c r="A127" s="1" t="s">
        <v>50</v>
      </c>
      <c r="B127" t="s">
        <v>38</v>
      </c>
      <c r="C127" t="s">
        <v>11</v>
      </c>
      <c r="D127" s="14">
        <f t="shared" ca="1" si="61"/>
        <v>0</v>
      </c>
      <c r="E127" s="14">
        <f t="shared" ca="1" si="61"/>
        <v>0</v>
      </c>
      <c r="F127" s="14">
        <f t="shared" ca="1" si="61"/>
        <v>2.7005790808730109E-2</v>
      </c>
      <c r="G127" s="14">
        <f t="shared" ca="1" si="61"/>
        <v>2.7005790808730109E-2</v>
      </c>
      <c r="H127" s="14">
        <f t="shared" ca="1" si="61"/>
        <v>-6.485636912312091E-4</v>
      </c>
      <c r="I127" s="14">
        <f t="shared" ca="1" si="61"/>
        <v>3.4573816336654482E-2</v>
      </c>
      <c r="J127" s="14">
        <f t="shared" ca="1" si="61"/>
        <v>0</v>
      </c>
      <c r="K127" s="14">
        <f t="shared" ca="1" si="61"/>
        <v>1.1005429120528503E-3</v>
      </c>
      <c r="L127" s="14">
        <f t="shared" ca="1" si="61"/>
        <v>-6.485636912312091E-4</v>
      </c>
      <c r="M127" s="14">
        <f t="shared" ca="1" si="61"/>
        <v>3.4573816336654482E-2</v>
      </c>
      <c r="N127" s="14">
        <f t="shared" ca="1" si="61"/>
        <v>2.7005790808730109E-2</v>
      </c>
      <c r="O127" s="14">
        <f t="shared" ca="1" si="61"/>
        <v>2.5755867145711995E-3</v>
      </c>
    </row>
    <row r="128" spans="1:15" x14ac:dyDescent="0.25">
      <c r="A128" s="1" t="s">
        <v>50</v>
      </c>
      <c r="B128" t="s">
        <v>39</v>
      </c>
      <c r="C128" t="s">
        <v>6</v>
      </c>
      <c r="D128" s="14">
        <f ca="1">IF(D8 = 0, 0, D104/D8)</f>
        <v>5.5877844730743906E-3</v>
      </c>
      <c r="E128" s="14">
        <f t="shared" ref="E128:O128" ca="1" si="62">IF(E8 = 0, 0, E104/E8)</f>
        <v>-2.4179795363220919E-2</v>
      </c>
      <c r="F128" s="14">
        <f t="shared" ca="1" si="62"/>
        <v>0</v>
      </c>
      <c r="G128" s="14">
        <f t="shared" ca="1" si="62"/>
        <v>-2.1500843269588212E-4</v>
      </c>
      <c r="H128" s="14">
        <f t="shared" ca="1" si="62"/>
        <v>0</v>
      </c>
      <c r="I128" s="14">
        <f t="shared" ca="1" si="62"/>
        <v>0</v>
      </c>
      <c r="J128" s="14">
        <f t="shared" ca="1" si="62"/>
        <v>-1.427807530082096E-3</v>
      </c>
      <c r="K128" s="14">
        <f t="shared" ca="1" si="62"/>
        <v>-1.427807530082096E-3</v>
      </c>
      <c r="L128" s="14">
        <f t="shared" ca="1" si="62"/>
        <v>5.5877844730743906E-3</v>
      </c>
      <c r="M128" s="14">
        <f t="shared" ca="1" si="62"/>
        <v>-2.4179795363220919E-2</v>
      </c>
      <c r="N128" s="14">
        <f t="shared" ca="1" si="62"/>
        <v>-1.427807530082096E-3</v>
      </c>
      <c r="O128" s="14">
        <f t="shared" ca="1" si="62"/>
        <v>-2.7063911104266533E-4</v>
      </c>
    </row>
    <row r="129" spans="1:15" x14ac:dyDescent="0.25">
      <c r="A129" s="1" t="s">
        <v>50</v>
      </c>
      <c r="B129" t="s">
        <v>39</v>
      </c>
      <c r="C129" t="s">
        <v>7</v>
      </c>
      <c r="D129" s="14">
        <f t="shared" ref="D129:O133" ca="1" si="63">IF(D9 = 0, 0, D105/D9)</f>
        <v>1.2707557299187792E-2</v>
      </c>
      <c r="E129" s="14">
        <f t="shared" ca="1" si="63"/>
        <v>-3.6979481777218361E-2</v>
      </c>
      <c r="F129" s="14">
        <f t="shared" ca="1" si="63"/>
        <v>0</v>
      </c>
      <c r="G129" s="14">
        <f t="shared" ca="1" si="63"/>
        <v>3.1304708508543802E-3</v>
      </c>
      <c r="H129" s="14">
        <f t="shared" ca="1" si="63"/>
        <v>0</v>
      </c>
      <c r="I129" s="14">
        <f t="shared" ca="1" si="63"/>
        <v>0</v>
      </c>
      <c r="J129" s="14">
        <f t="shared" ca="1" si="63"/>
        <v>-1.131822206744905E-3</v>
      </c>
      <c r="K129" s="14">
        <f t="shared" ca="1" si="63"/>
        <v>-1.131822206744905E-3</v>
      </c>
      <c r="L129" s="14">
        <f t="shared" ca="1" si="63"/>
        <v>1.2707557299187792E-2</v>
      </c>
      <c r="M129" s="14">
        <f t="shared" ca="1" si="63"/>
        <v>-3.6979481777218361E-2</v>
      </c>
      <c r="N129" s="14">
        <f t="shared" ca="1" si="63"/>
        <v>-1.131822206744905E-3</v>
      </c>
      <c r="O129" s="14">
        <f t="shared" ca="1" si="63"/>
        <v>2.4989146239627847E-3</v>
      </c>
    </row>
    <row r="130" spans="1:15" x14ac:dyDescent="0.25">
      <c r="A130" s="1" t="s">
        <v>50</v>
      </c>
      <c r="B130" t="s">
        <v>39</v>
      </c>
      <c r="C130" t="s">
        <v>8</v>
      </c>
      <c r="D130" s="14">
        <f t="shared" ca="1" si="63"/>
        <v>2.305512459818115E-2</v>
      </c>
      <c r="E130" s="14">
        <f t="shared" ca="1" si="63"/>
        <v>-4.8663551383908696E-2</v>
      </c>
      <c r="F130" s="14">
        <f t="shared" ca="1" si="63"/>
        <v>0</v>
      </c>
      <c r="G130" s="14">
        <f t="shared" ca="1" si="63"/>
        <v>9.106571940302054E-3</v>
      </c>
      <c r="H130" s="14">
        <f t="shared" ca="1" si="63"/>
        <v>0</v>
      </c>
      <c r="I130" s="14">
        <f t="shared" ca="1" si="63"/>
        <v>0</v>
      </c>
      <c r="J130" s="14">
        <f t="shared" ca="1" si="63"/>
        <v>-2.2122224778827432E-3</v>
      </c>
      <c r="K130" s="14">
        <f t="shared" ca="1" si="63"/>
        <v>-2.2122224778827432E-3</v>
      </c>
      <c r="L130" s="14">
        <f t="shared" ca="1" si="63"/>
        <v>2.305512459818115E-2</v>
      </c>
      <c r="M130" s="14">
        <f t="shared" ca="1" si="63"/>
        <v>-4.8663551383908696E-2</v>
      </c>
      <c r="N130" s="14">
        <f t="shared" ca="1" si="63"/>
        <v>-2.2122224778827432E-3</v>
      </c>
      <c r="O130" s="14">
        <f t="shared" ca="1" si="63"/>
        <v>6.0027847239274056E-3</v>
      </c>
    </row>
    <row r="131" spans="1:15" x14ac:dyDescent="0.25">
      <c r="A131" s="1" t="s">
        <v>50</v>
      </c>
      <c r="B131" t="s">
        <v>39</v>
      </c>
      <c r="C131" t="s">
        <v>9</v>
      </c>
      <c r="D131" s="14">
        <f t="shared" ca="1" si="63"/>
        <v>0</v>
      </c>
      <c r="E131" s="14">
        <f t="shared" ca="1" si="63"/>
        <v>0</v>
      </c>
      <c r="F131" s="14">
        <f t="shared" ca="1" si="63"/>
        <v>2.3408395227115524E-3</v>
      </c>
      <c r="G131" s="14">
        <f t="shared" ca="1" si="63"/>
        <v>2.3408395227115524E-3</v>
      </c>
      <c r="H131" s="14">
        <f t="shared" ca="1" si="63"/>
        <v>-1.8856683799617451E-3</v>
      </c>
      <c r="I131" s="14">
        <f t="shared" ca="1" si="63"/>
        <v>-1.4589748888338035E-3</v>
      </c>
      <c r="J131" s="14">
        <f t="shared" ca="1" si="63"/>
        <v>0</v>
      </c>
      <c r="K131" s="14">
        <f t="shared" ca="1" si="63"/>
        <v>-1.8485000481885472E-3</v>
      </c>
      <c r="L131" s="14">
        <f t="shared" ca="1" si="63"/>
        <v>-1.8856683799617451E-3</v>
      </c>
      <c r="M131" s="14">
        <f t="shared" ca="1" si="63"/>
        <v>-1.4589748888338035E-3</v>
      </c>
      <c r="N131" s="14">
        <f t="shared" ca="1" si="63"/>
        <v>2.3408395227115524E-3</v>
      </c>
      <c r="O131" s="14">
        <f t="shared" ca="1" si="63"/>
        <v>-1.7547474112421411E-3</v>
      </c>
    </row>
    <row r="132" spans="1:15" x14ac:dyDescent="0.25">
      <c r="A132" s="1" t="s">
        <v>50</v>
      </c>
      <c r="B132" t="s">
        <v>39</v>
      </c>
      <c r="C132" t="s">
        <v>10</v>
      </c>
      <c r="D132" s="14">
        <f t="shared" ca="1" si="63"/>
        <v>0</v>
      </c>
      <c r="E132" s="14">
        <f t="shared" ca="1" si="63"/>
        <v>0</v>
      </c>
      <c r="F132" s="14">
        <f t="shared" ca="1" si="63"/>
        <v>6.7455765006256291E-3</v>
      </c>
      <c r="G132" s="14">
        <f t="shared" ca="1" si="63"/>
        <v>6.7455765006256291E-3</v>
      </c>
      <c r="H132" s="14">
        <f t="shared" ca="1" si="63"/>
        <v>-2.1738232782670718E-3</v>
      </c>
      <c r="I132" s="14">
        <f t="shared" ca="1" si="63"/>
        <v>1.2647116270670833E-2</v>
      </c>
      <c r="J132" s="14">
        <f t="shared" ca="1" si="63"/>
        <v>0</v>
      </c>
      <c r="K132" s="14">
        <f t="shared" ca="1" si="63"/>
        <v>-1.1799669033891833E-3</v>
      </c>
      <c r="L132" s="14">
        <f t="shared" ca="1" si="63"/>
        <v>-2.1738232782670718E-3</v>
      </c>
      <c r="M132" s="14">
        <f t="shared" ca="1" si="63"/>
        <v>1.2647116270670833E-2</v>
      </c>
      <c r="N132" s="14">
        <f t="shared" ca="1" si="63"/>
        <v>6.7455765006256291E-3</v>
      </c>
      <c r="O132" s="14">
        <f t="shared" ca="1" si="63"/>
        <v>-9.8733646863091761E-4</v>
      </c>
    </row>
    <row r="133" spans="1:15" x14ac:dyDescent="0.25">
      <c r="A133" s="1" t="s">
        <v>50</v>
      </c>
      <c r="B133" t="s">
        <v>39</v>
      </c>
      <c r="C133" t="s">
        <v>11</v>
      </c>
      <c r="D133" s="14">
        <f t="shared" ca="1" si="63"/>
        <v>0</v>
      </c>
      <c r="E133" s="14">
        <f t="shared" ca="1" si="63"/>
        <v>0</v>
      </c>
      <c r="F133" s="14">
        <f t="shared" ca="1" si="63"/>
        <v>2.0764063506085062E-2</v>
      </c>
      <c r="G133" s="14">
        <f t="shared" ca="1" si="63"/>
        <v>2.0764063506085062E-2</v>
      </c>
      <c r="H133" s="14">
        <f t="shared" ca="1" si="63"/>
        <v>-2.3961931267888633E-3</v>
      </c>
      <c r="I133" s="14">
        <f t="shared" ca="1" si="63"/>
        <v>3.1201050018390363E-2</v>
      </c>
      <c r="J133" s="14">
        <f t="shared" ca="1" si="63"/>
        <v>0</v>
      </c>
      <c r="K133" s="14">
        <f t="shared" ca="1" si="63"/>
        <v>-7.2778912368410436E-4</v>
      </c>
      <c r="L133" s="14">
        <f t="shared" ca="1" si="63"/>
        <v>-2.3961931267888633E-3</v>
      </c>
      <c r="M133" s="14">
        <f t="shared" ca="1" si="63"/>
        <v>3.1201050018390363E-2</v>
      </c>
      <c r="N133" s="14">
        <f t="shared" ca="1" si="63"/>
        <v>2.0764063506085062E-2</v>
      </c>
      <c r="O133" s="14">
        <f t="shared" ca="1" si="63"/>
        <v>4.9595612487134501E-4</v>
      </c>
    </row>
  </sheetData>
  <autoFilter ref="A7:O133" xr:uid="{90299768-7F22-4657-A64A-DD0A3F32DBC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6548-4EE5-4815-9474-06C51C027578}">
  <dimension ref="A1:Q28"/>
  <sheetViews>
    <sheetView tabSelected="1" workbookViewId="0">
      <selection activeCell="E18" sqref="E18"/>
    </sheetView>
  </sheetViews>
  <sheetFormatPr defaultRowHeight="15" x14ac:dyDescent="0.25"/>
  <cols>
    <col min="2" max="2" width="47" bestFit="1" customWidth="1"/>
    <col min="3" max="3" width="16.7109375" bestFit="1" customWidth="1"/>
    <col min="4" max="4" width="37.140625" bestFit="1" customWidth="1"/>
    <col min="5" max="5" width="16.7109375" bestFit="1" customWidth="1"/>
    <col min="6" max="6" width="41.7109375" bestFit="1" customWidth="1"/>
    <col min="7" max="7" width="18.28515625" bestFit="1" customWidth="1"/>
    <col min="8" max="8" width="16.7109375" bestFit="1" customWidth="1"/>
    <col min="9" max="9" width="38.5703125" bestFit="1" customWidth="1"/>
    <col min="10" max="10" width="16.7109375" bestFit="1" customWidth="1"/>
    <col min="11" max="11" width="43.140625" bestFit="1" customWidth="1"/>
    <col min="12" max="12" width="19.5703125" bestFit="1" customWidth="1"/>
    <col min="13" max="13" width="16.7109375" bestFit="1" customWidth="1"/>
    <col min="14" max="14" width="32.5703125" bestFit="1" customWidth="1"/>
    <col min="15" max="15" width="16.7109375" bestFit="1" customWidth="1"/>
    <col min="16" max="16" width="37.140625" bestFit="1" customWidth="1"/>
    <col min="17" max="17" width="16.7109375" bestFit="1" customWidth="1"/>
  </cols>
  <sheetData>
    <row r="1" spans="1:17" x14ac:dyDescent="0.25">
      <c r="A1" s="2" t="s">
        <v>58</v>
      </c>
    </row>
    <row r="2" spans="1:17" x14ac:dyDescent="0.25">
      <c r="A2" s="1" t="s">
        <v>52</v>
      </c>
    </row>
    <row r="3" spans="1:17" x14ac:dyDescent="0.25">
      <c r="A3" s="1" t="s">
        <v>53</v>
      </c>
    </row>
    <row r="4" spans="1:17" x14ac:dyDescent="0.25">
      <c r="A4" s="1" t="s">
        <v>55</v>
      </c>
    </row>
    <row r="5" spans="1:17" x14ac:dyDescent="0.25">
      <c r="A5" s="1" t="s">
        <v>57</v>
      </c>
    </row>
    <row r="6" spans="1:17" x14ac:dyDescent="0.25">
      <c r="A6" s="1"/>
    </row>
    <row r="7" spans="1:17" ht="15.75" thickBot="1" x14ac:dyDescent="0.3">
      <c r="A7" s="16" t="s">
        <v>56</v>
      </c>
      <c r="B7" s="17" t="s">
        <v>0</v>
      </c>
      <c r="C7" s="17" t="s">
        <v>12</v>
      </c>
      <c r="D7" s="17" t="s">
        <v>23</v>
      </c>
      <c r="E7" s="17" t="s">
        <v>24</v>
      </c>
      <c r="F7" s="17" t="s">
        <v>25</v>
      </c>
      <c r="G7" s="17" t="s">
        <v>26</v>
      </c>
      <c r="H7" s="17" t="s">
        <v>16</v>
      </c>
      <c r="I7" s="17" t="s">
        <v>27</v>
      </c>
      <c r="J7" s="17" t="s">
        <v>28</v>
      </c>
      <c r="K7" s="17" t="s">
        <v>29</v>
      </c>
      <c r="L7" s="17" t="s">
        <v>30</v>
      </c>
      <c r="M7" s="17" t="s">
        <v>2</v>
      </c>
      <c r="N7" s="17" t="s">
        <v>31</v>
      </c>
      <c r="O7" s="17" t="s">
        <v>32</v>
      </c>
      <c r="P7" s="17" t="s">
        <v>33</v>
      </c>
      <c r="Q7" s="17" t="s">
        <v>34</v>
      </c>
    </row>
    <row r="8" spans="1:17" x14ac:dyDescent="0.25">
      <c r="A8" t="s">
        <v>46</v>
      </c>
      <c r="B8" t="s">
        <v>35</v>
      </c>
      <c r="C8" s="1">
        <v>19861.292870142599</v>
      </c>
      <c r="D8" s="1">
        <v>7192.0672251628703</v>
      </c>
      <c r="E8" s="1">
        <v>3683.9198658782002</v>
      </c>
      <c r="F8" s="1">
        <v>27053.360095305499</v>
      </c>
      <c r="G8" s="1">
        <v>23545.2127360208</v>
      </c>
      <c r="H8" s="1">
        <v>14978.4032956273</v>
      </c>
      <c r="I8" s="1">
        <v>2264.9744338103201</v>
      </c>
      <c r="J8" s="1">
        <v>1605.05585108435</v>
      </c>
      <c r="K8" s="1">
        <v>17243.377729437601</v>
      </c>
      <c r="L8" s="1">
        <v>16583.459146711699</v>
      </c>
      <c r="M8" s="1">
        <v>34839.696165770001</v>
      </c>
      <c r="N8" s="1">
        <v>9457.0416589731904</v>
      </c>
      <c r="O8" s="1">
        <v>5288.97571696255</v>
      </c>
      <c r="P8" s="1">
        <v>44296.737824743097</v>
      </c>
      <c r="Q8" s="1">
        <v>40128.671882732502</v>
      </c>
    </row>
    <row r="9" spans="1:17" x14ac:dyDescent="0.25">
      <c r="A9" t="s">
        <v>46</v>
      </c>
      <c r="B9" t="s">
        <v>36</v>
      </c>
      <c r="C9" s="1">
        <v>19862.903636085499</v>
      </c>
      <c r="D9" s="1">
        <v>7185.8787152114801</v>
      </c>
      <c r="E9" s="1">
        <v>3655.0482380107201</v>
      </c>
      <c r="F9" s="1">
        <v>27048.782351296999</v>
      </c>
      <c r="G9" s="1">
        <v>23517.951874096299</v>
      </c>
      <c r="H9" s="1">
        <v>14980.5571009</v>
      </c>
      <c r="I9" s="1">
        <v>2263.62812153809</v>
      </c>
      <c r="J9" s="1">
        <v>1603.78582347422</v>
      </c>
      <c r="K9" s="1">
        <v>17244.1852224381</v>
      </c>
      <c r="L9" s="1">
        <v>16584.342924374199</v>
      </c>
      <c r="M9" s="1">
        <v>34843.4607369855</v>
      </c>
      <c r="N9" s="1">
        <v>9449.5068367495696</v>
      </c>
      <c r="O9" s="1">
        <v>5258.8340614849403</v>
      </c>
      <c r="P9" s="1">
        <v>44292.967573735099</v>
      </c>
      <c r="Q9" s="1">
        <v>40102.294798470502</v>
      </c>
    </row>
    <row r="10" spans="1:17" x14ac:dyDescent="0.25">
      <c r="A10" t="s">
        <v>46</v>
      </c>
      <c r="B10" t="s">
        <v>37</v>
      </c>
      <c r="C10" s="1">
        <v>19803.310939224299</v>
      </c>
      <c r="D10" s="1">
        <v>7193.4918912748999</v>
      </c>
      <c r="E10" s="1">
        <v>3657.2007523689999</v>
      </c>
      <c r="F10" s="1">
        <v>26996.8028304992</v>
      </c>
      <c r="G10" s="1">
        <v>23460.511691593299</v>
      </c>
      <c r="H10" s="1">
        <v>14943.1632990745</v>
      </c>
      <c r="I10" s="1">
        <v>2266.6328881130198</v>
      </c>
      <c r="J10" s="1">
        <v>1606.91037683992</v>
      </c>
      <c r="K10" s="1">
        <v>17209.796187187501</v>
      </c>
      <c r="L10" s="1">
        <v>16550.073675914398</v>
      </c>
      <c r="M10" s="1">
        <v>34746.474238298797</v>
      </c>
      <c r="N10" s="1">
        <v>9460.1247793879193</v>
      </c>
      <c r="O10" s="1">
        <v>5264.1111292089199</v>
      </c>
      <c r="P10" s="1">
        <v>44206.599017686698</v>
      </c>
      <c r="Q10" s="1">
        <v>40010.585367507701</v>
      </c>
    </row>
    <row r="11" spans="1:17" x14ac:dyDescent="0.25">
      <c r="A11" t="s">
        <v>46</v>
      </c>
      <c r="B11" t="s">
        <v>38</v>
      </c>
      <c r="C11" s="1">
        <v>19964.055528880999</v>
      </c>
      <c r="D11" s="1">
        <v>6780.9841051434296</v>
      </c>
      <c r="E11" s="1">
        <v>2946.2988884542201</v>
      </c>
      <c r="F11" s="1">
        <v>26745.039634024401</v>
      </c>
      <c r="G11" s="1">
        <v>22910.354417335198</v>
      </c>
      <c r="H11" s="1">
        <v>14942.6630288872</v>
      </c>
      <c r="I11" s="1">
        <v>2241.3742178165098</v>
      </c>
      <c r="J11" s="1">
        <v>1570.87719123445</v>
      </c>
      <c r="K11" s="1">
        <v>17184.037246703701</v>
      </c>
      <c r="L11" s="1">
        <v>16513.540220121598</v>
      </c>
      <c r="M11" s="1">
        <v>34906.718557768203</v>
      </c>
      <c r="N11" s="1">
        <v>9022.3583229599408</v>
      </c>
      <c r="O11" s="1">
        <v>4517.1760796886701</v>
      </c>
      <c r="P11" s="1">
        <v>43929.076880728098</v>
      </c>
      <c r="Q11" s="1">
        <v>39423.894637456797</v>
      </c>
    </row>
    <row r="12" spans="1:17" x14ac:dyDescent="0.25">
      <c r="A12" t="s">
        <v>46</v>
      </c>
      <c r="B12" t="s">
        <v>39</v>
      </c>
      <c r="C12" s="1">
        <v>19946.045370981399</v>
      </c>
      <c r="D12" s="1">
        <v>6821.97626603768</v>
      </c>
      <c r="E12" s="1">
        <v>3094.25091152902</v>
      </c>
      <c r="F12" s="1">
        <v>26768.021637018999</v>
      </c>
      <c r="G12" s="1">
        <v>23040.2962825104</v>
      </c>
      <c r="H12" s="1">
        <v>14941.283499421599</v>
      </c>
      <c r="I12" s="1">
        <v>2240.8007674573</v>
      </c>
      <c r="J12" s="1">
        <v>1567.5668361304899</v>
      </c>
      <c r="K12" s="1">
        <v>17182.084266878901</v>
      </c>
      <c r="L12" s="1">
        <v>16508.850335552099</v>
      </c>
      <c r="M12" s="1">
        <v>34887.328870402896</v>
      </c>
      <c r="N12" s="1">
        <v>9062.7770334949801</v>
      </c>
      <c r="O12" s="1">
        <v>4661.8177476595101</v>
      </c>
      <c r="P12" s="1">
        <v>43950.1059038979</v>
      </c>
      <c r="Q12" s="1">
        <v>39549.146618062397</v>
      </c>
    </row>
    <row r="13" spans="1:17" x14ac:dyDescent="0.25">
      <c r="A13" s="1" t="s">
        <v>47</v>
      </c>
      <c r="B13" t="s">
        <v>36</v>
      </c>
      <c r="C13" s="15">
        <f>C9-C8</f>
        <v>1.6107659428998886</v>
      </c>
      <c r="D13" s="15">
        <f t="shared" ref="D13:Q13" si="0">D9-D8</f>
        <v>-6.1885099513901878</v>
      </c>
      <c r="E13" s="15">
        <f t="shared" si="0"/>
        <v>-28.871627867480129</v>
      </c>
      <c r="F13" s="15">
        <f t="shared" si="0"/>
        <v>-4.5777440085003036</v>
      </c>
      <c r="G13" s="15">
        <f t="shared" si="0"/>
        <v>-27.260861924500205</v>
      </c>
      <c r="H13" s="15">
        <f t="shared" si="0"/>
        <v>2.1538052726991737</v>
      </c>
      <c r="I13" s="15">
        <f t="shared" si="0"/>
        <v>-1.3463122722300795</v>
      </c>
      <c r="J13" s="15">
        <f t="shared" si="0"/>
        <v>-1.2700276101300005</v>
      </c>
      <c r="K13" s="15">
        <f t="shared" si="0"/>
        <v>0.80749300049865269</v>
      </c>
      <c r="L13" s="15">
        <f t="shared" si="0"/>
        <v>0.88377766250050627</v>
      </c>
      <c r="M13" s="15">
        <f t="shared" si="0"/>
        <v>3.7645712154990179</v>
      </c>
      <c r="N13" s="15">
        <f t="shared" si="0"/>
        <v>-7.5348222236207221</v>
      </c>
      <c r="O13" s="15">
        <f t="shared" si="0"/>
        <v>-30.141655477609675</v>
      </c>
      <c r="P13" s="15">
        <f t="shared" si="0"/>
        <v>-3.7702510079980129</v>
      </c>
      <c r="Q13" s="15">
        <f t="shared" si="0"/>
        <v>-26.377084261999698</v>
      </c>
    </row>
    <row r="14" spans="1:17" x14ac:dyDescent="0.25">
      <c r="A14" s="1" t="s">
        <v>47</v>
      </c>
      <c r="B14" t="s">
        <v>37</v>
      </c>
      <c r="C14" s="15">
        <f t="shared" ref="C14:Q16" si="1">C10-C9</f>
        <v>-59.592696861200238</v>
      </c>
      <c r="D14" s="15">
        <f t="shared" si="1"/>
        <v>7.6131760634198145</v>
      </c>
      <c r="E14" s="15">
        <f t="shared" si="1"/>
        <v>2.1525143582798592</v>
      </c>
      <c r="F14" s="15">
        <f t="shared" si="1"/>
        <v>-51.979520797798614</v>
      </c>
      <c r="G14" s="15">
        <f t="shared" si="1"/>
        <v>-57.44018250299996</v>
      </c>
      <c r="H14" s="15">
        <f t="shared" si="1"/>
        <v>-37.393801825499395</v>
      </c>
      <c r="I14" s="15">
        <f t="shared" si="1"/>
        <v>3.0047665749298176</v>
      </c>
      <c r="J14" s="15">
        <f t="shared" si="1"/>
        <v>3.1245533656999669</v>
      </c>
      <c r="K14" s="15">
        <f t="shared" si="1"/>
        <v>-34.389035250598681</v>
      </c>
      <c r="L14" s="15">
        <f t="shared" si="1"/>
        <v>-34.26924845980102</v>
      </c>
      <c r="M14" s="15">
        <f t="shared" si="1"/>
        <v>-96.986498686703271</v>
      </c>
      <c r="N14" s="15">
        <f t="shared" si="1"/>
        <v>10.617942638349632</v>
      </c>
      <c r="O14" s="15">
        <f t="shared" si="1"/>
        <v>5.2770677239795987</v>
      </c>
      <c r="P14" s="15">
        <f t="shared" si="1"/>
        <v>-86.368556048400933</v>
      </c>
      <c r="Q14" s="15">
        <f t="shared" si="1"/>
        <v>-91.70943096280098</v>
      </c>
    </row>
    <row r="15" spans="1:17" x14ac:dyDescent="0.25">
      <c r="A15" s="1" t="s">
        <v>47</v>
      </c>
      <c r="B15" t="s">
        <v>38</v>
      </c>
      <c r="C15" s="15">
        <f t="shared" si="1"/>
        <v>160.74458965670055</v>
      </c>
      <c r="D15" s="15">
        <f t="shared" si="1"/>
        <v>-412.50778613147031</v>
      </c>
      <c r="E15" s="15">
        <f t="shared" si="1"/>
        <v>-710.90186391477982</v>
      </c>
      <c r="F15" s="15">
        <f t="shared" si="1"/>
        <v>-251.76319647479977</v>
      </c>
      <c r="G15" s="15">
        <f t="shared" si="1"/>
        <v>-550.1572742581011</v>
      </c>
      <c r="H15" s="15">
        <f t="shared" si="1"/>
        <v>-0.50027018729997508</v>
      </c>
      <c r="I15" s="15">
        <f t="shared" si="1"/>
        <v>-25.25867029650999</v>
      </c>
      <c r="J15" s="15">
        <f t="shared" si="1"/>
        <v>-36.033185605469953</v>
      </c>
      <c r="K15" s="15">
        <f t="shared" si="1"/>
        <v>-25.758940483799961</v>
      </c>
      <c r="L15" s="15">
        <f t="shared" si="1"/>
        <v>-36.533455792799941</v>
      </c>
      <c r="M15" s="15">
        <f t="shared" si="1"/>
        <v>160.24431946940604</v>
      </c>
      <c r="N15" s="15">
        <f t="shared" si="1"/>
        <v>-437.76645642797848</v>
      </c>
      <c r="O15" s="15">
        <f t="shared" si="1"/>
        <v>-746.93504952024978</v>
      </c>
      <c r="P15" s="15">
        <f t="shared" si="1"/>
        <v>-277.52213695859973</v>
      </c>
      <c r="Q15" s="15">
        <f t="shared" si="1"/>
        <v>-586.69073005090468</v>
      </c>
    </row>
    <row r="16" spans="1:17" x14ac:dyDescent="0.25">
      <c r="A16" s="1" t="s">
        <v>47</v>
      </c>
      <c r="B16" t="s">
        <v>39</v>
      </c>
      <c r="C16" s="15">
        <f t="shared" si="1"/>
        <v>-18.010157899600017</v>
      </c>
      <c r="D16" s="15">
        <f t="shared" si="1"/>
        <v>40.992160894250446</v>
      </c>
      <c r="E16" s="15">
        <f t="shared" si="1"/>
        <v>147.95202307479985</v>
      </c>
      <c r="F16" s="15">
        <f t="shared" si="1"/>
        <v>22.982002994598588</v>
      </c>
      <c r="G16" s="15">
        <f t="shared" si="1"/>
        <v>129.94186517520211</v>
      </c>
      <c r="H16" s="15">
        <f t="shared" si="1"/>
        <v>-1.379529465601081</v>
      </c>
      <c r="I16" s="15">
        <f t="shared" si="1"/>
        <v>-0.57345035920980081</v>
      </c>
      <c r="J16" s="15">
        <f t="shared" si="1"/>
        <v>-3.3103551039600916</v>
      </c>
      <c r="K16" s="15">
        <f t="shared" si="1"/>
        <v>-1.9529798248004226</v>
      </c>
      <c r="L16" s="15">
        <f t="shared" si="1"/>
        <v>-4.6898845694995543</v>
      </c>
      <c r="M16" s="15">
        <f t="shared" si="1"/>
        <v>-19.3896873653066</v>
      </c>
      <c r="N16" s="15">
        <f t="shared" si="1"/>
        <v>40.418710535039281</v>
      </c>
      <c r="O16" s="15">
        <f t="shared" si="1"/>
        <v>144.64166797083999</v>
      </c>
      <c r="P16" s="15">
        <f t="shared" si="1"/>
        <v>21.029023169801803</v>
      </c>
      <c r="Q16" s="15">
        <f t="shared" si="1"/>
        <v>125.25198060560069</v>
      </c>
    </row>
    <row r="17" spans="1:17" x14ac:dyDescent="0.25">
      <c r="A17" s="1" t="s">
        <v>48</v>
      </c>
      <c r="B17" t="s">
        <v>36</v>
      </c>
      <c r="C17" s="14">
        <f>C13/C8</f>
        <v>8.1100759826231982E-5</v>
      </c>
      <c r="D17" s="14">
        <f t="shared" ref="D17:Q17" si="2">D13/D8</f>
        <v>-8.60463307369884E-4</v>
      </c>
      <c r="E17" s="14">
        <f t="shared" si="2"/>
        <v>-7.8372030116343194E-3</v>
      </c>
      <c r="F17" s="14">
        <f t="shared" si="2"/>
        <v>-1.6921166141187276E-4</v>
      </c>
      <c r="G17" s="14">
        <f t="shared" si="2"/>
        <v>-1.157809115175035E-3</v>
      </c>
      <c r="H17" s="14">
        <f t="shared" si="2"/>
        <v>1.4379405001919943E-4</v>
      </c>
      <c r="I17" s="14">
        <f t="shared" si="2"/>
        <v>-5.9440506353319227E-4</v>
      </c>
      <c r="J17" s="14">
        <f t="shared" si="2"/>
        <v>-7.9126692648856436E-4</v>
      </c>
      <c r="K17" s="14">
        <f t="shared" si="2"/>
        <v>4.6829166139538564E-5</v>
      </c>
      <c r="L17" s="14">
        <f t="shared" si="2"/>
        <v>5.3292721059089096E-5</v>
      </c>
      <c r="M17" s="14">
        <f t="shared" si="2"/>
        <v>1.0805407709604852E-4</v>
      </c>
      <c r="N17" s="14">
        <f t="shared" si="2"/>
        <v>-7.9674199346170841E-4</v>
      </c>
      <c r="O17" s="14">
        <f t="shared" si="2"/>
        <v>-5.6989589460471144E-3</v>
      </c>
      <c r="P17" s="14">
        <f t="shared" si="2"/>
        <v>-8.5113513841916387E-5</v>
      </c>
      <c r="Q17" s="14">
        <f t="shared" si="2"/>
        <v>-6.5731266509594713E-4</v>
      </c>
    </row>
    <row r="18" spans="1:17" x14ac:dyDescent="0.25">
      <c r="A18" s="1" t="s">
        <v>48</v>
      </c>
      <c r="B18" t="s">
        <v>37</v>
      </c>
      <c r="C18" s="14">
        <f t="shared" ref="C18:Q20" si="3">C14/C9</f>
        <v>-3.0002006732256659E-3</v>
      </c>
      <c r="D18" s="14">
        <f t="shared" si="3"/>
        <v>1.0594634790180644E-3</v>
      </c>
      <c r="E18" s="14">
        <f t="shared" si="3"/>
        <v>5.8891544464304436E-4</v>
      </c>
      <c r="F18" s="14">
        <f t="shared" si="3"/>
        <v>-1.921695406569981E-3</v>
      </c>
      <c r="G18" s="14">
        <f t="shared" si="3"/>
        <v>-2.4423973146346597E-3</v>
      </c>
      <c r="H18" s="14">
        <f t="shared" si="3"/>
        <v>-2.4961556218261638E-3</v>
      </c>
      <c r="I18" s="14">
        <f t="shared" si="3"/>
        <v>1.3274117538741915E-3</v>
      </c>
      <c r="J18" s="14">
        <f t="shared" si="3"/>
        <v>1.9482360549436496E-3</v>
      </c>
      <c r="K18" s="14">
        <f t="shared" si="3"/>
        <v>-1.9942394962130039E-3</v>
      </c>
      <c r="L18" s="14">
        <f t="shared" si="3"/>
        <v>-2.0663615445044321E-3</v>
      </c>
      <c r="M18" s="14">
        <f t="shared" si="3"/>
        <v>-2.7834921283738739E-3</v>
      </c>
      <c r="N18" s="14">
        <f t="shared" si="3"/>
        <v>1.1236504530644882E-3</v>
      </c>
      <c r="O18" s="14">
        <f t="shared" si="3"/>
        <v>1.0034672443133734E-3</v>
      </c>
      <c r="P18" s="14">
        <f t="shared" si="3"/>
        <v>-1.9499383486695045E-3</v>
      </c>
      <c r="Q18" s="14">
        <f t="shared" si="3"/>
        <v>-2.2868873570372028E-3</v>
      </c>
    </row>
    <row r="19" spans="1:17" x14ac:dyDescent="0.25">
      <c r="A19" s="1" t="s">
        <v>48</v>
      </c>
      <c r="B19" t="s">
        <v>38</v>
      </c>
      <c r="C19" s="14">
        <f t="shared" si="3"/>
        <v>8.1170562917494121E-3</v>
      </c>
      <c r="D19" s="14">
        <f t="shared" si="3"/>
        <v>-5.7344582070330476E-2</v>
      </c>
      <c r="E19" s="14">
        <f t="shared" si="3"/>
        <v>-0.19438415117198141</v>
      </c>
      <c r="F19" s="14">
        <f t="shared" si="3"/>
        <v>-9.3256671190106392E-3</v>
      </c>
      <c r="G19" s="14">
        <f t="shared" si="3"/>
        <v>-2.3450352724200863E-2</v>
      </c>
      <c r="H19" s="14">
        <f t="shared" si="3"/>
        <v>-3.3478198510415741E-5</v>
      </c>
      <c r="I19" s="14">
        <f t="shared" si="3"/>
        <v>-1.1143697079917483E-2</v>
      </c>
      <c r="J19" s="14">
        <f t="shared" si="3"/>
        <v>-2.242389253614209E-2</v>
      </c>
      <c r="K19" s="14">
        <f t="shared" si="3"/>
        <v>-1.4967603453071223E-3</v>
      </c>
      <c r="L19" s="14">
        <f t="shared" si="3"/>
        <v>-2.207449737578371E-3</v>
      </c>
      <c r="M19" s="14">
        <f t="shared" si="3"/>
        <v>4.6118152411786014E-3</v>
      </c>
      <c r="N19" s="14">
        <f t="shared" si="3"/>
        <v>-4.6274913559470242E-2</v>
      </c>
      <c r="O19" s="14">
        <f t="shared" si="3"/>
        <v>-0.1418919607102781</v>
      </c>
      <c r="P19" s="14">
        <f t="shared" si="3"/>
        <v>-6.2778441030391279E-3</v>
      </c>
      <c r="Q19" s="14">
        <f t="shared" si="3"/>
        <v>-1.4663387817548699E-2</v>
      </c>
    </row>
    <row r="20" spans="1:17" x14ac:dyDescent="0.25">
      <c r="A20" s="1" t="s">
        <v>48</v>
      </c>
      <c r="B20" t="s">
        <v>39</v>
      </c>
      <c r="C20" s="14">
        <f t="shared" si="3"/>
        <v>-9.0212922286985343E-4</v>
      </c>
      <c r="D20" s="14">
        <f t="shared" si="3"/>
        <v>6.0451639848495692E-3</v>
      </c>
      <c r="E20" s="14">
        <f t="shared" si="3"/>
        <v>5.0216230150506927E-2</v>
      </c>
      <c r="F20" s="14">
        <f t="shared" si="3"/>
        <v>8.59299642441413E-4</v>
      </c>
      <c r="G20" s="14">
        <f t="shared" si="3"/>
        <v>5.6717527284030648E-3</v>
      </c>
      <c r="H20" s="14">
        <f t="shared" si="3"/>
        <v>-9.232152682116773E-5</v>
      </c>
      <c r="I20" s="14">
        <f t="shared" si="3"/>
        <v>-2.5584766463872401E-4</v>
      </c>
      <c r="J20" s="14">
        <f t="shared" si="3"/>
        <v>-2.1073290276490035E-3</v>
      </c>
      <c r="K20" s="14">
        <f t="shared" si="3"/>
        <v>-1.1365081422731725E-4</v>
      </c>
      <c r="L20" s="14">
        <f t="shared" si="3"/>
        <v>-2.8400237059918702E-4</v>
      </c>
      <c r="M20" s="14">
        <f t="shared" si="3"/>
        <v>-5.5547150137352525E-4</v>
      </c>
      <c r="N20" s="14">
        <f t="shared" si="3"/>
        <v>4.4798387614668825E-3</v>
      </c>
      <c r="O20" s="14">
        <f t="shared" si="3"/>
        <v>3.2020374105232771E-2</v>
      </c>
      <c r="P20" s="14">
        <f t="shared" si="3"/>
        <v>4.7870396245515781E-4</v>
      </c>
      <c r="Q20" s="14">
        <f t="shared" si="3"/>
        <v>3.1770575118826106E-3</v>
      </c>
    </row>
    <row r="21" spans="1:17" x14ac:dyDescent="0.25">
      <c r="A21" s="1" t="s">
        <v>49</v>
      </c>
      <c r="B21" t="s">
        <v>36</v>
      </c>
      <c r="C21" s="15">
        <f>C9-C$8</f>
        <v>1.6107659428998886</v>
      </c>
      <c r="D21" s="15">
        <f t="shared" ref="D21:Q21" si="4">D9-D$8</f>
        <v>-6.1885099513901878</v>
      </c>
      <c r="E21" s="15">
        <f t="shared" si="4"/>
        <v>-28.871627867480129</v>
      </c>
      <c r="F21" s="15">
        <f t="shared" si="4"/>
        <v>-4.5777440085003036</v>
      </c>
      <c r="G21" s="15">
        <f t="shared" si="4"/>
        <v>-27.260861924500205</v>
      </c>
      <c r="H21" s="15">
        <f t="shared" si="4"/>
        <v>2.1538052726991737</v>
      </c>
      <c r="I21" s="15">
        <f t="shared" si="4"/>
        <v>-1.3463122722300795</v>
      </c>
      <c r="J21" s="15">
        <f t="shared" si="4"/>
        <v>-1.2700276101300005</v>
      </c>
      <c r="K21" s="15">
        <f t="shared" si="4"/>
        <v>0.80749300049865269</v>
      </c>
      <c r="L21" s="15">
        <f t="shared" si="4"/>
        <v>0.88377766250050627</v>
      </c>
      <c r="M21" s="15">
        <f t="shared" si="4"/>
        <v>3.7645712154990179</v>
      </c>
      <c r="N21" s="15">
        <f t="shared" si="4"/>
        <v>-7.5348222236207221</v>
      </c>
      <c r="O21" s="15">
        <f t="shared" si="4"/>
        <v>-30.141655477609675</v>
      </c>
      <c r="P21" s="15">
        <f t="shared" si="4"/>
        <v>-3.7702510079980129</v>
      </c>
      <c r="Q21" s="15">
        <f t="shared" si="4"/>
        <v>-26.377084261999698</v>
      </c>
    </row>
    <row r="22" spans="1:17" x14ac:dyDescent="0.25">
      <c r="A22" s="1" t="s">
        <v>49</v>
      </c>
      <c r="B22" t="s">
        <v>37</v>
      </c>
      <c r="C22" s="15">
        <f t="shared" ref="C22:Q24" si="5">C10-C$8</f>
        <v>-57.98193091830035</v>
      </c>
      <c r="D22" s="15">
        <f t="shared" si="5"/>
        <v>1.4246661120296267</v>
      </c>
      <c r="E22" s="15">
        <f t="shared" si="5"/>
        <v>-26.71911350920027</v>
      </c>
      <c r="F22" s="15">
        <f t="shared" si="5"/>
        <v>-56.557264806298917</v>
      </c>
      <c r="G22" s="15">
        <f t="shared" si="5"/>
        <v>-84.701044427500165</v>
      </c>
      <c r="H22" s="15">
        <f t="shared" si="5"/>
        <v>-35.239996552800221</v>
      </c>
      <c r="I22" s="15">
        <f t="shared" si="5"/>
        <v>1.658454302699738</v>
      </c>
      <c r="J22" s="15">
        <f t="shared" si="5"/>
        <v>1.8545257555699663</v>
      </c>
      <c r="K22" s="15">
        <f t="shared" si="5"/>
        <v>-33.581542250100028</v>
      </c>
      <c r="L22" s="15">
        <f t="shared" si="5"/>
        <v>-33.385470797300513</v>
      </c>
      <c r="M22" s="15">
        <f t="shared" si="5"/>
        <v>-93.221927471204253</v>
      </c>
      <c r="N22" s="15">
        <f t="shared" si="5"/>
        <v>3.08312041472891</v>
      </c>
      <c r="O22" s="15">
        <f t="shared" si="5"/>
        <v>-24.864587753630076</v>
      </c>
      <c r="P22" s="15">
        <f t="shared" si="5"/>
        <v>-90.138807056398946</v>
      </c>
      <c r="Q22" s="15">
        <f t="shared" si="5"/>
        <v>-118.08651522480068</v>
      </c>
    </row>
    <row r="23" spans="1:17" x14ac:dyDescent="0.25">
      <c r="A23" s="1" t="s">
        <v>49</v>
      </c>
      <c r="B23" t="s">
        <v>38</v>
      </c>
      <c r="C23" s="15">
        <f t="shared" si="5"/>
        <v>102.76265873840021</v>
      </c>
      <c r="D23" s="15">
        <f t="shared" si="5"/>
        <v>-411.08312001944068</v>
      </c>
      <c r="E23" s="15">
        <f t="shared" si="5"/>
        <v>-737.62097742398009</v>
      </c>
      <c r="F23" s="15">
        <f t="shared" si="5"/>
        <v>-308.32046128109869</v>
      </c>
      <c r="G23" s="15">
        <f t="shared" si="5"/>
        <v>-634.85831868560126</v>
      </c>
      <c r="H23" s="15">
        <f t="shared" si="5"/>
        <v>-35.740266740100196</v>
      </c>
      <c r="I23" s="15">
        <f t="shared" si="5"/>
        <v>-23.600215993810252</v>
      </c>
      <c r="J23" s="15">
        <f t="shared" si="5"/>
        <v>-34.178659849899987</v>
      </c>
      <c r="K23" s="15">
        <f t="shared" si="5"/>
        <v>-59.340482733899989</v>
      </c>
      <c r="L23" s="15">
        <f t="shared" si="5"/>
        <v>-69.918926590100455</v>
      </c>
      <c r="M23" s="15">
        <f t="shared" si="5"/>
        <v>67.022391998201783</v>
      </c>
      <c r="N23" s="15">
        <f t="shared" si="5"/>
        <v>-434.68333601324957</v>
      </c>
      <c r="O23" s="15">
        <f t="shared" si="5"/>
        <v>-771.79963727387985</v>
      </c>
      <c r="P23" s="15">
        <f t="shared" si="5"/>
        <v>-367.66094401499868</v>
      </c>
      <c r="Q23" s="15">
        <f t="shared" si="5"/>
        <v>-704.77724527570535</v>
      </c>
    </row>
    <row r="24" spans="1:17" x14ac:dyDescent="0.25">
      <c r="A24" s="1" t="s">
        <v>49</v>
      </c>
      <c r="B24" t="s">
        <v>39</v>
      </c>
      <c r="C24" s="15">
        <f t="shared" si="5"/>
        <v>84.752500838800188</v>
      </c>
      <c r="D24" s="15">
        <f t="shared" si="5"/>
        <v>-370.09095912519024</v>
      </c>
      <c r="E24" s="15">
        <f t="shared" si="5"/>
        <v>-589.66895434918024</v>
      </c>
      <c r="F24" s="15">
        <f t="shared" si="5"/>
        <v>-285.3384582865001</v>
      </c>
      <c r="G24" s="15">
        <f t="shared" si="5"/>
        <v>-504.91645351039915</v>
      </c>
      <c r="H24" s="15">
        <f t="shared" si="5"/>
        <v>-37.119796205701277</v>
      </c>
      <c r="I24" s="15">
        <f t="shared" si="5"/>
        <v>-24.173666353020053</v>
      </c>
      <c r="J24" s="15">
        <f t="shared" si="5"/>
        <v>-37.489014953860078</v>
      </c>
      <c r="K24" s="15">
        <f t="shared" si="5"/>
        <v>-61.293462558700412</v>
      </c>
      <c r="L24" s="15">
        <f t="shared" si="5"/>
        <v>-74.608811159600009</v>
      </c>
      <c r="M24" s="15">
        <f t="shared" si="5"/>
        <v>47.632704632895184</v>
      </c>
      <c r="N24" s="15">
        <f t="shared" si="5"/>
        <v>-394.26462547821029</v>
      </c>
      <c r="O24" s="15">
        <f t="shared" si="5"/>
        <v>-627.15796930303986</v>
      </c>
      <c r="P24" s="15">
        <f t="shared" si="5"/>
        <v>-346.63192084519687</v>
      </c>
      <c r="Q24" s="15">
        <f t="shared" si="5"/>
        <v>-579.52526467010466</v>
      </c>
    </row>
    <row r="25" spans="1:17" x14ac:dyDescent="0.25">
      <c r="A25" s="1" t="s">
        <v>50</v>
      </c>
      <c r="B25" t="s">
        <v>36</v>
      </c>
      <c r="C25" s="14">
        <f>C21/C$8</f>
        <v>8.1100759826231982E-5</v>
      </c>
      <c r="D25" s="14">
        <f t="shared" ref="D25:Q25" si="6">D21/D$8</f>
        <v>-8.60463307369884E-4</v>
      </c>
      <c r="E25" s="14">
        <f t="shared" si="6"/>
        <v>-7.8372030116343194E-3</v>
      </c>
      <c r="F25" s="14">
        <f t="shared" si="6"/>
        <v>-1.6921166141187276E-4</v>
      </c>
      <c r="G25" s="14">
        <f t="shared" si="6"/>
        <v>-1.157809115175035E-3</v>
      </c>
      <c r="H25" s="14">
        <f t="shared" si="6"/>
        <v>1.4379405001919943E-4</v>
      </c>
      <c r="I25" s="14">
        <f t="shared" si="6"/>
        <v>-5.9440506353319227E-4</v>
      </c>
      <c r="J25" s="14">
        <f t="shared" si="6"/>
        <v>-7.9126692648856436E-4</v>
      </c>
      <c r="K25" s="14">
        <f t="shared" si="6"/>
        <v>4.6829166139538564E-5</v>
      </c>
      <c r="L25" s="14">
        <f t="shared" si="6"/>
        <v>5.3292721059089096E-5</v>
      </c>
      <c r="M25" s="14">
        <f t="shared" si="6"/>
        <v>1.0805407709604852E-4</v>
      </c>
      <c r="N25" s="14">
        <f t="shared" si="6"/>
        <v>-7.9674199346170841E-4</v>
      </c>
      <c r="O25" s="14">
        <f t="shared" si="6"/>
        <v>-5.6989589460471144E-3</v>
      </c>
      <c r="P25" s="14">
        <f t="shared" si="6"/>
        <v>-8.5113513841916387E-5</v>
      </c>
      <c r="Q25" s="14">
        <f t="shared" si="6"/>
        <v>-6.5731266509594713E-4</v>
      </c>
    </row>
    <row r="26" spans="1:17" x14ac:dyDescent="0.25">
      <c r="A26" s="1" t="s">
        <v>50</v>
      </c>
      <c r="B26" t="s">
        <v>37</v>
      </c>
      <c r="C26" s="14">
        <f t="shared" ref="C26:Q28" si="7">C22/C$8</f>
        <v>-2.9193432319536638E-3</v>
      </c>
      <c r="D26" s="14">
        <f t="shared" si="7"/>
        <v>1.9808854219898701E-4</v>
      </c>
      <c r="E26" s="14">
        <f t="shared" si="7"/>
        <v>-7.2529030168876291E-3</v>
      </c>
      <c r="F26" s="14">
        <f t="shared" si="7"/>
        <v>-2.0905818947093806E-3</v>
      </c>
      <c r="G26" s="14">
        <f t="shared" si="7"/>
        <v>-3.5973785999359313E-3</v>
      </c>
      <c r="H26" s="14">
        <f t="shared" si="7"/>
        <v>-2.352720504133305E-3</v>
      </c>
      <c r="I26" s="14">
        <f t="shared" si="7"/>
        <v>7.3221767007310297E-4</v>
      </c>
      <c r="J26" s="14">
        <f t="shared" si="7"/>
        <v>1.1554275536998157E-3</v>
      </c>
      <c r="K26" s="14">
        <f t="shared" si="7"/>
        <v>-1.9475037186461553E-3</v>
      </c>
      <c r="L26" s="14">
        <f t="shared" si="7"/>
        <v>-2.0131789454747415E-3</v>
      </c>
      <c r="M26" s="14">
        <f t="shared" si="7"/>
        <v>-2.6757388189508607E-3</v>
      </c>
      <c r="N26" s="14">
        <f t="shared" si="7"/>
        <v>3.2601320010085093E-4</v>
      </c>
      <c r="O26" s="14">
        <f t="shared" si="7"/>
        <v>-4.7012104203627862E-3</v>
      </c>
      <c r="P26" s="14">
        <f t="shared" si="7"/>
        <v>-2.0348858964067905E-3</v>
      </c>
      <c r="Q26" s="14">
        <f t="shared" si="7"/>
        <v>-2.9426968221097217E-3</v>
      </c>
    </row>
    <row r="27" spans="1:17" x14ac:dyDescent="0.25">
      <c r="A27" s="1" t="s">
        <v>50</v>
      </c>
      <c r="B27" t="s">
        <v>38</v>
      </c>
      <c r="C27" s="14">
        <f t="shared" si="7"/>
        <v>5.1740165864470429E-3</v>
      </c>
      <c r="D27" s="14">
        <f t="shared" si="7"/>
        <v>-5.7157852832796813E-2</v>
      </c>
      <c r="E27" s="14">
        <f t="shared" si="7"/>
        <v>-0.20022720479239864</v>
      </c>
      <c r="F27" s="14">
        <f t="shared" si="7"/>
        <v>-1.1396752942884931E-2</v>
      </c>
      <c r="G27" s="14">
        <f t="shared" si="7"/>
        <v>-2.6963371527085802E-2</v>
      </c>
      <c r="H27" s="14">
        <f t="shared" si="7"/>
        <v>-2.3861199377996438E-3</v>
      </c>
      <c r="I27" s="14">
        <f t="shared" si="7"/>
        <v>-1.0419639021756237E-2</v>
      </c>
      <c r="J27" s="14">
        <f t="shared" si="7"/>
        <v>-2.1294374165739736E-2</v>
      </c>
      <c r="K27" s="14">
        <f t="shared" si="7"/>
        <v>-3.4413491176148699E-3</v>
      </c>
      <c r="L27" s="14">
        <f t="shared" si="7"/>
        <v>-4.2161846917182257E-3</v>
      </c>
      <c r="M27" s="14">
        <f t="shared" si="7"/>
        <v>1.9237364091610901E-3</v>
      </c>
      <c r="N27" s="14">
        <f t="shared" si="7"/>
        <v>-4.5963986592023304E-2</v>
      </c>
      <c r="O27" s="14">
        <f t="shared" si="7"/>
        <v>-0.14592610716638402</v>
      </c>
      <c r="P27" s="14">
        <f t="shared" si="7"/>
        <v>-8.2999553030208041E-3</v>
      </c>
      <c r="Q27" s="14">
        <f t="shared" si="7"/>
        <v>-1.7562934734926358E-2</v>
      </c>
    </row>
    <row r="28" spans="1:17" x14ac:dyDescent="0.25">
      <c r="A28" s="1" t="s">
        <v>50</v>
      </c>
      <c r="B28" t="s">
        <v>39</v>
      </c>
      <c r="C28" s="14">
        <f t="shared" si="7"/>
        <v>4.2672197320149426E-3</v>
      </c>
      <c r="D28" s="14">
        <f t="shared" si="7"/>
        <v>-5.14582174413434E-2</v>
      </c>
      <c r="E28" s="14">
        <f t="shared" si="7"/>
        <v>-0.16006563004013949</v>
      </c>
      <c r="F28" s="14">
        <f t="shared" si="7"/>
        <v>-1.0547246526172331E-2</v>
      </c>
      <c r="G28" s="14">
        <f t="shared" si="7"/>
        <v>-2.1444548374708435E-2</v>
      </c>
      <c r="H28" s="14">
        <f t="shared" si="7"/>
        <v>-2.4782211743849757E-3</v>
      </c>
      <c r="I28" s="14">
        <f t="shared" si="7"/>
        <v>-1.0672820846084867E-2</v>
      </c>
      <c r="J28" s="14">
        <f t="shared" si="7"/>
        <v>-2.3356828940583656E-2</v>
      </c>
      <c r="K28" s="14">
        <f t="shared" si="7"/>
        <v>-3.5546088197129298E-3</v>
      </c>
      <c r="L28" s="14">
        <f t="shared" si="7"/>
        <v>-4.4989896558700806E-3</v>
      </c>
      <c r="M28" s="14">
        <f t="shared" si="7"/>
        <v>1.3671963270361213E-3</v>
      </c>
      <c r="N28" s="14">
        <f t="shared" si="7"/>
        <v>-4.1690059079322918E-2</v>
      </c>
      <c r="O28" s="14">
        <f t="shared" si="7"/>
        <v>-0.11857834160433915</v>
      </c>
      <c r="P28" s="14">
        <f t="shared" si="7"/>
        <v>-7.8252245620574028E-3</v>
      </c>
      <c r="Q28" s="14">
        <f t="shared" si="7"/>
        <v>-1.4441675676774049E-2</v>
      </c>
    </row>
  </sheetData>
  <autoFilter ref="A7:Q7" xr:uid="{12046548-4EE5-4815-9474-06C51C02757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904870-C79A-49DC-BDD8-56CD61F05BDF}"/>
</file>

<file path=customXml/itemProps2.xml><?xml version="1.0" encoding="utf-8"?>
<ds:datastoreItem xmlns:ds="http://schemas.openxmlformats.org/officeDocument/2006/customXml" ds:itemID="{65D572B7-0B12-4EE6-AA7A-FA533540DC2E}"/>
</file>

<file path=customXml/itemProps3.xml><?xml version="1.0" encoding="utf-8"?>
<ds:datastoreItem xmlns:ds="http://schemas.openxmlformats.org/officeDocument/2006/customXml" ds:itemID="{D36A163D-2E91-4816-80E8-A7D9B8F0D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Factoren</vt:lpstr>
      <vt:lpstr>CW portefeuille</vt:lpstr>
      <vt:lpstr>CW Premieportefeuille</vt:lpstr>
    </vt:vector>
  </TitlesOfParts>
  <Company>Sprenkels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Tesselaar</dc:creator>
  <cp:lastModifiedBy>Frank Tesselaar</cp:lastModifiedBy>
  <dcterms:created xsi:type="dcterms:W3CDTF">2026-04-03T15:16:40Z</dcterms:created>
  <dcterms:modified xsi:type="dcterms:W3CDTF">2026-04-03T16:57:36Z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