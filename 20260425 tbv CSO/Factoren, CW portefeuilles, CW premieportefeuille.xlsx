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3. Prognosetafels werkmap\Deelopdracht 7\20260425 tbv CSO\"/>
    </mc:Choice>
  </mc:AlternateContent>
  <xr:revisionPtr revIDLastSave="0" documentId="8_{ED3ECE6B-CB4B-49E9-9D45-D125003A17BE}" xr6:coauthVersionLast="47" xr6:coauthVersionMax="47" xr10:uidLastSave="{00000000-0000-0000-0000-000000000000}"/>
  <bookViews>
    <workbookView xWindow="-110" yWindow="-110" windowWidth="19420" windowHeight="11500" xr2:uid="{BD0B785D-2A2B-443A-BAA2-79B2499831A3}"/>
  </bookViews>
  <sheets>
    <sheet name="Factoren" sheetId="1" r:id="rId1"/>
    <sheet name="CW portefeuille" sheetId="3" r:id="rId2"/>
    <sheet name="CW Premieportefeuille" sheetId="4" r:id="rId3"/>
  </sheets>
  <definedNames>
    <definedName name="_xlnm._FilterDatabase" localSheetId="1" hidden="1">'CW portefeuille'!$A$7:$O$163</definedName>
    <definedName name="_xlnm._FilterDatabase" localSheetId="2" hidden="1">'CW Premieportefeuille'!$A$7:$Q$7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8" i="3" l="1"/>
  <c r="D98" i="3" s="1"/>
  <c r="E68" i="3"/>
  <c r="E98" i="3" s="1"/>
  <c r="F68" i="3"/>
  <c r="F98" i="3" s="1"/>
  <c r="G68" i="3"/>
  <c r="G98" i="3" s="1"/>
  <c r="H68" i="3"/>
  <c r="H98" i="3" s="1"/>
  <c r="I68" i="3"/>
  <c r="I98" i="3" s="1"/>
  <c r="J68" i="3"/>
  <c r="J98" i="3" s="1"/>
  <c r="K68" i="3"/>
  <c r="K98" i="3" s="1"/>
  <c r="L68" i="3"/>
  <c r="L98" i="3" s="1"/>
  <c r="M68" i="3"/>
  <c r="M98" i="3" s="1"/>
  <c r="N68" i="3"/>
  <c r="N98" i="3" s="1"/>
  <c r="O68" i="3"/>
  <c r="O98" i="3" s="1"/>
  <c r="D69" i="3"/>
  <c r="D99" i="3" s="1"/>
  <c r="E69" i="3"/>
  <c r="E99" i="3" s="1"/>
  <c r="F69" i="3"/>
  <c r="F99" i="3" s="1"/>
  <c r="G69" i="3"/>
  <c r="G99" i="3" s="1"/>
  <c r="H69" i="3"/>
  <c r="H99" i="3" s="1"/>
  <c r="I69" i="3"/>
  <c r="I99" i="3" s="1"/>
  <c r="J69" i="3"/>
  <c r="J99" i="3" s="1"/>
  <c r="K69" i="3"/>
  <c r="K99" i="3" s="1"/>
  <c r="L69" i="3"/>
  <c r="L99" i="3" s="1"/>
  <c r="M69" i="3"/>
  <c r="M99" i="3" s="1"/>
  <c r="N69" i="3"/>
  <c r="N99" i="3" s="1"/>
  <c r="O69" i="3"/>
  <c r="O99" i="3" s="1"/>
  <c r="D70" i="3"/>
  <c r="D100" i="3" s="1"/>
  <c r="E70" i="3"/>
  <c r="E100" i="3" s="1"/>
  <c r="F70" i="3"/>
  <c r="F100" i="3" s="1"/>
  <c r="G70" i="3"/>
  <c r="G100" i="3" s="1"/>
  <c r="H70" i="3"/>
  <c r="H100" i="3" s="1"/>
  <c r="I70" i="3"/>
  <c r="I100" i="3" s="1"/>
  <c r="J70" i="3"/>
  <c r="J100" i="3" s="1"/>
  <c r="K70" i="3"/>
  <c r="K100" i="3" s="1"/>
  <c r="L70" i="3"/>
  <c r="L100" i="3" s="1"/>
  <c r="M70" i="3"/>
  <c r="M100" i="3" s="1"/>
  <c r="N70" i="3"/>
  <c r="N100" i="3" s="1"/>
  <c r="O70" i="3"/>
  <c r="O100" i="3" s="1"/>
  <c r="D71" i="3"/>
  <c r="D101" i="3" s="1"/>
  <c r="E71" i="3"/>
  <c r="E101" i="3" s="1"/>
  <c r="F71" i="3"/>
  <c r="F101" i="3" s="1"/>
  <c r="G71" i="3"/>
  <c r="G101" i="3" s="1"/>
  <c r="H71" i="3"/>
  <c r="H101" i="3" s="1"/>
  <c r="I71" i="3"/>
  <c r="I101" i="3" s="1"/>
  <c r="J71" i="3"/>
  <c r="J101" i="3" s="1"/>
  <c r="K71" i="3"/>
  <c r="K101" i="3" s="1"/>
  <c r="L71" i="3"/>
  <c r="L101" i="3" s="1"/>
  <c r="M71" i="3"/>
  <c r="M101" i="3" s="1"/>
  <c r="N71" i="3"/>
  <c r="N101" i="3" s="1"/>
  <c r="O71" i="3"/>
  <c r="O101" i="3" s="1"/>
  <c r="D72" i="3"/>
  <c r="D102" i="3" s="1"/>
  <c r="E72" i="3"/>
  <c r="E102" i="3" s="1"/>
  <c r="F72" i="3"/>
  <c r="F102" i="3" s="1"/>
  <c r="G72" i="3"/>
  <c r="G102" i="3" s="1"/>
  <c r="H72" i="3"/>
  <c r="H102" i="3" s="1"/>
  <c r="I72" i="3"/>
  <c r="I102" i="3" s="1"/>
  <c r="J72" i="3"/>
  <c r="J102" i="3" s="1"/>
  <c r="K72" i="3"/>
  <c r="K102" i="3" s="1"/>
  <c r="L72" i="3"/>
  <c r="L102" i="3" s="1"/>
  <c r="M72" i="3"/>
  <c r="M102" i="3" s="1"/>
  <c r="N72" i="3"/>
  <c r="N102" i="3" s="1"/>
  <c r="O72" i="3"/>
  <c r="O102" i="3" s="1"/>
  <c r="D73" i="3"/>
  <c r="D103" i="3" s="1"/>
  <c r="E73" i="3"/>
  <c r="E103" i="3" s="1"/>
  <c r="F73" i="3"/>
  <c r="F103" i="3" s="1"/>
  <c r="G73" i="3"/>
  <c r="G103" i="3" s="1"/>
  <c r="H73" i="3"/>
  <c r="H103" i="3" s="1"/>
  <c r="I73" i="3"/>
  <c r="I103" i="3" s="1"/>
  <c r="J73" i="3"/>
  <c r="J103" i="3" s="1"/>
  <c r="K73" i="3"/>
  <c r="K103" i="3" s="1"/>
  <c r="L73" i="3"/>
  <c r="L103" i="3" s="1"/>
  <c r="M73" i="3"/>
  <c r="M103" i="3" s="1"/>
  <c r="N73" i="3"/>
  <c r="N103" i="3" s="1"/>
  <c r="O73" i="3"/>
  <c r="O103" i="3" s="1"/>
  <c r="AB11" i="1"/>
  <c r="AI11" i="1" s="1"/>
  <c r="AB12" i="1"/>
  <c r="AI12" i="1" s="1"/>
  <c r="AB13" i="1"/>
  <c r="AI13" i="1" s="1"/>
  <c r="AB14" i="1"/>
  <c r="AI14" i="1" s="1"/>
  <c r="AB15" i="1"/>
  <c r="AI15" i="1" s="1"/>
  <c r="AB16" i="1"/>
  <c r="AI16" i="1" s="1"/>
  <c r="AB17" i="1"/>
  <c r="AI17" i="1" s="1"/>
  <c r="AB21" i="1"/>
  <c r="AI21" i="1" s="1"/>
  <c r="AB22" i="1"/>
  <c r="AI22" i="1" s="1"/>
  <c r="AB23" i="1"/>
  <c r="AI23" i="1" s="1"/>
  <c r="AB24" i="1"/>
  <c r="AI24" i="1" s="1"/>
  <c r="AB25" i="1"/>
  <c r="AI25" i="1" s="1"/>
  <c r="AB26" i="1"/>
  <c r="AI26" i="1" s="1"/>
  <c r="AB27" i="1"/>
  <c r="AI27" i="1" s="1"/>
  <c r="AB31" i="1"/>
  <c r="AI31" i="1" s="1"/>
  <c r="AB32" i="1"/>
  <c r="AI32" i="1" s="1"/>
  <c r="AB33" i="1"/>
  <c r="AI33" i="1" s="1"/>
  <c r="AB34" i="1"/>
  <c r="AI34" i="1" s="1"/>
  <c r="AB35" i="1"/>
  <c r="AI35" i="1" s="1"/>
  <c r="AB36" i="1"/>
  <c r="AI36" i="1" s="1"/>
  <c r="AB37" i="1"/>
  <c r="AI37" i="1" s="1"/>
  <c r="AB42" i="1"/>
  <c r="AI42" i="1" s="1"/>
  <c r="AB43" i="1"/>
  <c r="AI43" i="1" s="1"/>
  <c r="AB44" i="1"/>
  <c r="AI44" i="1" s="1"/>
  <c r="AB45" i="1"/>
  <c r="AI45" i="1" s="1"/>
  <c r="AB46" i="1"/>
  <c r="AI46" i="1" s="1"/>
  <c r="AB47" i="1"/>
  <c r="AI47" i="1" s="1"/>
  <c r="AB48" i="1"/>
  <c r="AI48" i="1" s="1"/>
  <c r="AB52" i="1"/>
  <c r="AI52" i="1" s="1"/>
  <c r="AB53" i="1"/>
  <c r="AI53" i="1" s="1"/>
  <c r="AB54" i="1"/>
  <c r="AI54" i="1" s="1"/>
  <c r="AB55" i="1"/>
  <c r="AI55" i="1" s="1"/>
  <c r="AB56" i="1"/>
  <c r="AI56" i="1" s="1"/>
  <c r="AB57" i="1"/>
  <c r="AI57" i="1" s="1"/>
  <c r="AB58" i="1"/>
  <c r="AI58" i="1" s="1"/>
  <c r="AB62" i="1"/>
  <c r="AI62" i="1" s="1"/>
  <c r="AB63" i="1"/>
  <c r="AI63" i="1" s="1"/>
  <c r="AB64" i="1"/>
  <c r="AI64" i="1" s="1"/>
  <c r="AB65" i="1"/>
  <c r="AI65" i="1" s="1"/>
  <c r="AB66" i="1"/>
  <c r="AI66" i="1" s="1"/>
  <c r="AB67" i="1"/>
  <c r="AI67" i="1" s="1"/>
  <c r="AB68" i="1"/>
  <c r="AI68" i="1" s="1"/>
  <c r="N11" i="1"/>
  <c r="U11" i="1" s="1"/>
  <c r="N12" i="1"/>
  <c r="U12" i="1" s="1"/>
  <c r="N13" i="1"/>
  <c r="U13" i="1" s="1"/>
  <c r="N14" i="1"/>
  <c r="U14" i="1" s="1"/>
  <c r="N15" i="1"/>
  <c r="U15" i="1" s="1"/>
  <c r="N16" i="1"/>
  <c r="U16" i="1" s="1"/>
  <c r="N17" i="1"/>
  <c r="U17" i="1" s="1"/>
  <c r="N21" i="1"/>
  <c r="U21" i="1" s="1"/>
  <c r="N22" i="1"/>
  <c r="U22" i="1" s="1"/>
  <c r="N23" i="1"/>
  <c r="U23" i="1" s="1"/>
  <c r="N24" i="1"/>
  <c r="U24" i="1" s="1"/>
  <c r="N25" i="1"/>
  <c r="U25" i="1" s="1"/>
  <c r="N26" i="1"/>
  <c r="U26" i="1" s="1"/>
  <c r="N27" i="1"/>
  <c r="U27" i="1" s="1"/>
  <c r="N31" i="1"/>
  <c r="U31" i="1" s="1"/>
  <c r="N32" i="1"/>
  <c r="U32" i="1" s="1"/>
  <c r="N33" i="1"/>
  <c r="U33" i="1" s="1"/>
  <c r="N34" i="1"/>
  <c r="U34" i="1" s="1"/>
  <c r="N35" i="1"/>
  <c r="U35" i="1" s="1"/>
  <c r="N36" i="1"/>
  <c r="U36" i="1" s="1"/>
  <c r="N37" i="1"/>
  <c r="U37" i="1" s="1"/>
  <c r="N42" i="1"/>
  <c r="U42" i="1" s="1"/>
  <c r="N43" i="1"/>
  <c r="U43" i="1" s="1"/>
  <c r="N44" i="1"/>
  <c r="U44" i="1" s="1"/>
  <c r="N45" i="1"/>
  <c r="U45" i="1" s="1"/>
  <c r="N46" i="1"/>
  <c r="U46" i="1" s="1"/>
  <c r="N47" i="1"/>
  <c r="U47" i="1" s="1"/>
  <c r="N48" i="1"/>
  <c r="U48" i="1" s="1"/>
  <c r="N52" i="1"/>
  <c r="U52" i="1" s="1"/>
  <c r="N53" i="1"/>
  <c r="U53" i="1" s="1"/>
  <c r="N54" i="1"/>
  <c r="U54" i="1" s="1"/>
  <c r="N55" i="1"/>
  <c r="U55" i="1" s="1"/>
  <c r="N56" i="1"/>
  <c r="U56" i="1" s="1"/>
  <c r="N57" i="1"/>
  <c r="U57" i="1" s="1"/>
  <c r="N58" i="1"/>
  <c r="U58" i="1" s="1"/>
  <c r="N62" i="1"/>
  <c r="U62" i="1" s="1"/>
  <c r="N63" i="1"/>
  <c r="U63" i="1" s="1"/>
  <c r="N64" i="1"/>
  <c r="U64" i="1" s="1"/>
  <c r="N65" i="1"/>
  <c r="U65" i="1" s="1"/>
  <c r="N66" i="1"/>
  <c r="U66" i="1" s="1"/>
  <c r="N67" i="1"/>
  <c r="U67" i="1" s="1"/>
  <c r="N68" i="1"/>
  <c r="U68" i="1" s="1"/>
  <c r="B10" i="1" a="1"/>
  <c r="B10" i="1" s="1"/>
  <c r="E128" i="3"/>
  <c r="E158" i="3" s="1"/>
  <c r="F128" i="3"/>
  <c r="F158" i="3" s="1"/>
  <c r="G128" i="3"/>
  <c r="G158" i="3" s="1"/>
  <c r="H128" i="3"/>
  <c r="H158" i="3" s="1"/>
  <c r="I128" i="3"/>
  <c r="I158" i="3" s="1"/>
  <c r="J128" i="3"/>
  <c r="J158" i="3" s="1"/>
  <c r="K128" i="3"/>
  <c r="K158" i="3" s="1"/>
  <c r="L128" i="3"/>
  <c r="L158" i="3" s="1"/>
  <c r="M128" i="3"/>
  <c r="M158" i="3" s="1"/>
  <c r="N128" i="3"/>
  <c r="N158" i="3" s="1"/>
  <c r="O128" i="3"/>
  <c r="O158" i="3" s="1"/>
  <c r="E129" i="3"/>
  <c r="E159" i="3" s="1"/>
  <c r="F129" i="3"/>
  <c r="F159" i="3" s="1"/>
  <c r="G129" i="3"/>
  <c r="G159" i="3" s="1"/>
  <c r="H129" i="3"/>
  <c r="H159" i="3" s="1"/>
  <c r="I129" i="3"/>
  <c r="I159" i="3" s="1"/>
  <c r="J129" i="3"/>
  <c r="J159" i="3" s="1"/>
  <c r="K129" i="3"/>
  <c r="K159" i="3" s="1"/>
  <c r="L129" i="3"/>
  <c r="L159" i="3" s="1"/>
  <c r="M129" i="3"/>
  <c r="M159" i="3" s="1"/>
  <c r="N129" i="3"/>
  <c r="N159" i="3" s="1"/>
  <c r="O129" i="3"/>
  <c r="O159" i="3" s="1"/>
  <c r="E130" i="3"/>
  <c r="E160" i="3" s="1"/>
  <c r="F130" i="3"/>
  <c r="F160" i="3" s="1"/>
  <c r="G130" i="3"/>
  <c r="G160" i="3" s="1"/>
  <c r="H130" i="3"/>
  <c r="H160" i="3" s="1"/>
  <c r="I130" i="3"/>
  <c r="I160" i="3" s="1"/>
  <c r="J130" i="3"/>
  <c r="J160" i="3" s="1"/>
  <c r="K130" i="3"/>
  <c r="K160" i="3" s="1"/>
  <c r="L130" i="3"/>
  <c r="L160" i="3" s="1"/>
  <c r="M130" i="3"/>
  <c r="M160" i="3" s="1"/>
  <c r="N130" i="3"/>
  <c r="N160" i="3" s="1"/>
  <c r="O130" i="3"/>
  <c r="O160" i="3" s="1"/>
  <c r="E131" i="3"/>
  <c r="E161" i="3" s="1"/>
  <c r="F131" i="3"/>
  <c r="F161" i="3" s="1"/>
  <c r="G131" i="3"/>
  <c r="G161" i="3" s="1"/>
  <c r="H131" i="3"/>
  <c r="H161" i="3" s="1"/>
  <c r="I131" i="3"/>
  <c r="I161" i="3" s="1"/>
  <c r="J131" i="3"/>
  <c r="J161" i="3" s="1"/>
  <c r="K131" i="3"/>
  <c r="K161" i="3" s="1"/>
  <c r="L131" i="3"/>
  <c r="L161" i="3" s="1"/>
  <c r="M131" i="3"/>
  <c r="M161" i="3" s="1"/>
  <c r="N131" i="3"/>
  <c r="N161" i="3" s="1"/>
  <c r="O131" i="3"/>
  <c r="O161" i="3" s="1"/>
  <c r="E132" i="3"/>
  <c r="E162" i="3" s="1"/>
  <c r="F132" i="3"/>
  <c r="F162" i="3" s="1"/>
  <c r="G132" i="3"/>
  <c r="G162" i="3" s="1"/>
  <c r="H132" i="3"/>
  <c r="H162" i="3" s="1"/>
  <c r="I132" i="3"/>
  <c r="I162" i="3" s="1"/>
  <c r="J132" i="3"/>
  <c r="J162" i="3" s="1"/>
  <c r="K132" i="3"/>
  <c r="K162" i="3" s="1"/>
  <c r="L132" i="3"/>
  <c r="L162" i="3" s="1"/>
  <c r="M132" i="3"/>
  <c r="M162" i="3" s="1"/>
  <c r="N132" i="3"/>
  <c r="N162" i="3" s="1"/>
  <c r="O132" i="3"/>
  <c r="O162" i="3" s="1"/>
  <c r="E133" i="3"/>
  <c r="E163" i="3" s="1"/>
  <c r="F133" i="3"/>
  <c r="F163" i="3" s="1"/>
  <c r="G133" i="3"/>
  <c r="G163" i="3" s="1"/>
  <c r="H133" i="3"/>
  <c r="H163" i="3" s="1"/>
  <c r="I133" i="3"/>
  <c r="I163" i="3" s="1"/>
  <c r="J133" i="3"/>
  <c r="J163" i="3" s="1"/>
  <c r="K133" i="3"/>
  <c r="K163" i="3" s="1"/>
  <c r="L133" i="3"/>
  <c r="L163" i="3" s="1"/>
  <c r="M133" i="3"/>
  <c r="M163" i="3" s="1"/>
  <c r="N133" i="3"/>
  <c r="N163" i="3" s="1"/>
  <c r="O133" i="3"/>
  <c r="O163" i="3" s="1"/>
  <c r="D129" i="3"/>
  <c r="D159" i="3" s="1"/>
  <c r="D130" i="3"/>
  <c r="D160" i="3" s="1"/>
  <c r="D131" i="3"/>
  <c r="D161" i="3" s="1"/>
  <c r="D132" i="3"/>
  <c r="D162" i="3" s="1"/>
  <c r="D133" i="3"/>
  <c r="D163" i="3" s="1"/>
  <c r="D128" i="3"/>
  <c r="D158" i="3" s="1"/>
  <c r="C28" i="4"/>
  <c r="C33" i="4" s="1"/>
  <c r="D28" i="4"/>
  <c r="D33" i="4" s="1"/>
  <c r="E28" i="4"/>
  <c r="E33" i="4" s="1"/>
  <c r="F28" i="4"/>
  <c r="F33" i="4" s="1"/>
  <c r="G28" i="4"/>
  <c r="G33" i="4" s="1"/>
  <c r="H28" i="4"/>
  <c r="H33" i="4" s="1"/>
  <c r="I28" i="4"/>
  <c r="I33" i="4" s="1"/>
  <c r="J28" i="4"/>
  <c r="J33" i="4" s="1"/>
  <c r="K28" i="4"/>
  <c r="K33" i="4" s="1"/>
  <c r="L28" i="4"/>
  <c r="L33" i="4" s="1"/>
  <c r="M28" i="4"/>
  <c r="M33" i="4" s="1"/>
  <c r="N28" i="4"/>
  <c r="N33" i="4" s="1"/>
  <c r="O28" i="4"/>
  <c r="O33" i="4" s="1"/>
  <c r="P28" i="4"/>
  <c r="P33" i="4" s="1"/>
  <c r="Q28" i="4"/>
  <c r="Q33" i="4" s="1"/>
  <c r="C18" i="4"/>
  <c r="C23" i="4" s="1"/>
  <c r="D18" i="4"/>
  <c r="D23" i="4" s="1"/>
  <c r="E18" i="4"/>
  <c r="E23" i="4" s="1"/>
  <c r="F18" i="4"/>
  <c r="F23" i="4" s="1"/>
  <c r="G18" i="4"/>
  <c r="G23" i="4" s="1"/>
  <c r="H18" i="4"/>
  <c r="H23" i="4" s="1"/>
  <c r="I18" i="4"/>
  <c r="I23" i="4" s="1"/>
  <c r="J18" i="4"/>
  <c r="J23" i="4" s="1"/>
  <c r="K18" i="4"/>
  <c r="K23" i="4" s="1"/>
  <c r="L18" i="4"/>
  <c r="L23" i="4" s="1"/>
  <c r="M18" i="4"/>
  <c r="M23" i="4" s="1"/>
  <c r="N18" i="4"/>
  <c r="N23" i="4" s="1"/>
  <c r="O18" i="4"/>
  <c r="O23" i="4" s="1"/>
  <c r="P18" i="4"/>
  <c r="P23" i="4" s="1"/>
  <c r="Q18" i="4"/>
  <c r="Q23" i="4" s="1"/>
  <c r="D24" i="4"/>
  <c r="D29" i="4" s="1"/>
  <c r="E24" i="4"/>
  <c r="E29" i="4" s="1"/>
  <c r="F24" i="4"/>
  <c r="F29" i="4" s="1"/>
  <c r="G24" i="4"/>
  <c r="G29" i="4" s="1"/>
  <c r="H24" i="4"/>
  <c r="H29" i="4" s="1"/>
  <c r="I24" i="4"/>
  <c r="I29" i="4" s="1"/>
  <c r="J24" i="4"/>
  <c r="J29" i="4" s="1"/>
  <c r="K24" i="4"/>
  <c r="K29" i="4" s="1"/>
  <c r="L24" i="4"/>
  <c r="L29" i="4" s="1"/>
  <c r="M24" i="4"/>
  <c r="M29" i="4" s="1"/>
  <c r="N24" i="4"/>
  <c r="N29" i="4" s="1"/>
  <c r="O24" i="4"/>
  <c r="O29" i="4" s="1"/>
  <c r="P24" i="4"/>
  <c r="P29" i="4" s="1"/>
  <c r="Q24" i="4"/>
  <c r="Q29" i="4" s="1"/>
  <c r="D25" i="4"/>
  <c r="D30" i="4" s="1"/>
  <c r="E25" i="4"/>
  <c r="E30" i="4" s="1"/>
  <c r="F25" i="4"/>
  <c r="F30" i="4" s="1"/>
  <c r="G25" i="4"/>
  <c r="G30" i="4" s="1"/>
  <c r="H25" i="4"/>
  <c r="H30" i="4" s="1"/>
  <c r="I25" i="4"/>
  <c r="I30" i="4" s="1"/>
  <c r="J25" i="4"/>
  <c r="J30" i="4" s="1"/>
  <c r="K25" i="4"/>
  <c r="K30" i="4" s="1"/>
  <c r="L25" i="4"/>
  <c r="L30" i="4" s="1"/>
  <c r="M25" i="4"/>
  <c r="M30" i="4" s="1"/>
  <c r="N25" i="4"/>
  <c r="N30" i="4" s="1"/>
  <c r="O25" i="4"/>
  <c r="O30" i="4" s="1"/>
  <c r="P25" i="4"/>
  <c r="P30" i="4" s="1"/>
  <c r="Q25" i="4"/>
  <c r="Q30" i="4" s="1"/>
  <c r="D26" i="4"/>
  <c r="D31" i="4" s="1"/>
  <c r="E26" i="4"/>
  <c r="E31" i="4" s="1"/>
  <c r="F26" i="4"/>
  <c r="F31" i="4" s="1"/>
  <c r="G26" i="4"/>
  <c r="G31" i="4" s="1"/>
  <c r="H26" i="4"/>
  <c r="H31" i="4" s="1"/>
  <c r="I26" i="4"/>
  <c r="I31" i="4" s="1"/>
  <c r="J26" i="4"/>
  <c r="J31" i="4" s="1"/>
  <c r="K26" i="4"/>
  <c r="K31" i="4" s="1"/>
  <c r="L26" i="4"/>
  <c r="L31" i="4" s="1"/>
  <c r="M26" i="4"/>
  <c r="M31" i="4" s="1"/>
  <c r="N26" i="4"/>
  <c r="N31" i="4" s="1"/>
  <c r="O26" i="4"/>
  <c r="O31" i="4" s="1"/>
  <c r="P26" i="4"/>
  <c r="P31" i="4" s="1"/>
  <c r="Q26" i="4"/>
  <c r="Q31" i="4" s="1"/>
  <c r="D27" i="4"/>
  <c r="D32" i="4" s="1"/>
  <c r="E27" i="4"/>
  <c r="E32" i="4" s="1"/>
  <c r="F27" i="4"/>
  <c r="F32" i="4" s="1"/>
  <c r="G27" i="4"/>
  <c r="G32" i="4" s="1"/>
  <c r="H27" i="4"/>
  <c r="H32" i="4" s="1"/>
  <c r="I27" i="4"/>
  <c r="I32" i="4" s="1"/>
  <c r="J27" i="4"/>
  <c r="J32" i="4" s="1"/>
  <c r="K27" i="4"/>
  <c r="K32" i="4" s="1"/>
  <c r="L27" i="4"/>
  <c r="L32" i="4" s="1"/>
  <c r="M27" i="4"/>
  <c r="M32" i="4" s="1"/>
  <c r="N27" i="4"/>
  <c r="N32" i="4" s="1"/>
  <c r="O27" i="4"/>
  <c r="O32" i="4" s="1"/>
  <c r="P27" i="4"/>
  <c r="P32" i="4" s="1"/>
  <c r="Q27" i="4"/>
  <c r="Q32" i="4" s="1"/>
  <c r="C25" i="4"/>
  <c r="C30" i="4" s="1"/>
  <c r="C26" i="4"/>
  <c r="C31" i="4" s="1"/>
  <c r="C27" i="4"/>
  <c r="C32" i="4" s="1"/>
  <c r="C24" i="4"/>
  <c r="C29" i="4" s="1"/>
  <c r="D14" i="4"/>
  <c r="D19" i="4" s="1"/>
  <c r="E14" i="4"/>
  <c r="E19" i="4" s="1"/>
  <c r="F14" i="4"/>
  <c r="F19" i="4" s="1"/>
  <c r="G14" i="4"/>
  <c r="G19" i="4" s="1"/>
  <c r="H14" i="4"/>
  <c r="H19" i="4" s="1"/>
  <c r="I14" i="4"/>
  <c r="I19" i="4" s="1"/>
  <c r="J14" i="4"/>
  <c r="J19" i="4" s="1"/>
  <c r="K14" i="4"/>
  <c r="K19" i="4" s="1"/>
  <c r="L14" i="4"/>
  <c r="L19" i="4" s="1"/>
  <c r="M14" i="4"/>
  <c r="M19" i="4" s="1"/>
  <c r="N14" i="4"/>
  <c r="N19" i="4" s="1"/>
  <c r="O14" i="4"/>
  <c r="O19" i="4" s="1"/>
  <c r="P14" i="4"/>
  <c r="P19" i="4" s="1"/>
  <c r="Q14" i="4"/>
  <c r="Q19" i="4" s="1"/>
  <c r="D15" i="4"/>
  <c r="D20" i="4" s="1"/>
  <c r="E15" i="4"/>
  <c r="E20" i="4" s="1"/>
  <c r="F15" i="4"/>
  <c r="F20" i="4" s="1"/>
  <c r="G15" i="4"/>
  <c r="G20" i="4" s="1"/>
  <c r="H15" i="4"/>
  <c r="H20" i="4" s="1"/>
  <c r="I15" i="4"/>
  <c r="I20" i="4" s="1"/>
  <c r="J15" i="4"/>
  <c r="J20" i="4" s="1"/>
  <c r="K15" i="4"/>
  <c r="K20" i="4" s="1"/>
  <c r="L15" i="4"/>
  <c r="L20" i="4" s="1"/>
  <c r="M15" i="4"/>
  <c r="M20" i="4" s="1"/>
  <c r="N15" i="4"/>
  <c r="N20" i="4" s="1"/>
  <c r="O15" i="4"/>
  <c r="O20" i="4" s="1"/>
  <c r="P15" i="4"/>
  <c r="P20" i="4" s="1"/>
  <c r="Q15" i="4"/>
  <c r="Q20" i="4" s="1"/>
  <c r="D16" i="4"/>
  <c r="D21" i="4" s="1"/>
  <c r="E16" i="4"/>
  <c r="E21" i="4" s="1"/>
  <c r="F16" i="4"/>
  <c r="F21" i="4" s="1"/>
  <c r="G16" i="4"/>
  <c r="G21" i="4" s="1"/>
  <c r="H16" i="4"/>
  <c r="H21" i="4" s="1"/>
  <c r="I16" i="4"/>
  <c r="I21" i="4" s="1"/>
  <c r="J16" i="4"/>
  <c r="J21" i="4" s="1"/>
  <c r="K16" i="4"/>
  <c r="K21" i="4" s="1"/>
  <c r="L16" i="4"/>
  <c r="L21" i="4" s="1"/>
  <c r="M16" i="4"/>
  <c r="M21" i="4" s="1"/>
  <c r="N16" i="4"/>
  <c r="N21" i="4" s="1"/>
  <c r="O16" i="4"/>
  <c r="O21" i="4" s="1"/>
  <c r="P16" i="4"/>
  <c r="P21" i="4" s="1"/>
  <c r="Q16" i="4"/>
  <c r="Q21" i="4" s="1"/>
  <c r="D17" i="4"/>
  <c r="D22" i="4" s="1"/>
  <c r="E17" i="4"/>
  <c r="E22" i="4" s="1"/>
  <c r="F17" i="4"/>
  <c r="F22" i="4" s="1"/>
  <c r="G17" i="4"/>
  <c r="G22" i="4" s="1"/>
  <c r="H17" i="4"/>
  <c r="H22" i="4" s="1"/>
  <c r="I17" i="4"/>
  <c r="I22" i="4" s="1"/>
  <c r="J17" i="4"/>
  <c r="J22" i="4" s="1"/>
  <c r="K17" i="4"/>
  <c r="K22" i="4" s="1"/>
  <c r="L17" i="4"/>
  <c r="L22" i="4" s="1"/>
  <c r="M17" i="4"/>
  <c r="M22" i="4" s="1"/>
  <c r="N17" i="4"/>
  <c r="N22" i="4" s="1"/>
  <c r="O17" i="4"/>
  <c r="O22" i="4" s="1"/>
  <c r="P17" i="4"/>
  <c r="P22" i="4" s="1"/>
  <c r="Q17" i="4"/>
  <c r="Q22" i="4" s="1"/>
  <c r="C15" i="4"/>
  <c r="C20" i="4" s="1"/>
  <c r="C16" i="4"/>
  <c r="C21" i="4" s="1"/>
  <c r="C17" i="4"/>
  <c r="C22" i="4" s="1"/>
  <c r="C14" i="4"/>
  <c r="C19" i="4" s="1"/>
  <c r="E122" i="3"/>
  <c r="E152" i="3" s="1"/>
  <c r="F122" i="3"/>
  <c r="F152" i="3" s="1"/>
  <c r="G122" i="3"/>
  <c r="G152" i="3" s="1"/>
  <c r="H122" i="3"/>
  <c r="H152" i="3" s="1"/>
  <c r="I122" i="3"/>
  <c r="I152" i="3" s="1"/>
  <c r="J122" i="3"/>
  <c r="J152" i="3" s="1"/>
  <c r="K122" i="3"/>
  <c r="K152" i="3" s="1"/>
  <c r="L122" i="3"/>
  <c r="L152" i="3" s="1"/>
  <c r="M122" i="3"/>
  <c r="M152" i="3" s="1"/>
  <c r="N122" i="3"/>
  <c r="N152" i="3" s="1"/>
  <c r="O122" i="3"/>
  <c r="O152" i="3" s="1"/>
  <c r="E123" i="3"/>
  <c r="E153" i="3" s="1"/>
  <c r="F123" i="3"/>
  <c r="F153" i="3" s="1"/>
  <c r="G123" i="3"/>
  <c r="G153" i="3" s="1"/>
  <c r="H123" i="3"/>
  <c r="H153" i="3" s="1"/>
  <c r="I123" i="3"/>
  <c r="I153" i="3" s="1"/>
  <c r="J123" i="3"/>
  <c r="J153" i="3" s="1"/>
  <c r="K123" i="3"/>
  <c r="K153" i="3" s="1"/>
  <c r="L123" i="3"/>
  <c r="L153" i="3" s="1"/>
  <c r="M123" i="3"/>
  <c r="M153" i="3" s="1"/>
  <c r="N123" i="3"/>
  <c r="N153" i="3" s="1"/>
  <c r="O123" i="3"/>
  <c r="O153" i="3" s="1"/>
  <c r="E124" i="3"/>
  <c r="E154" i="3" s="1"/>
  <c r="F124" i="3"/>
  <c r="F154" i="3" s="1"/>
  <c r="G124" i="3"/>
  <c r="G154" i="3" s="1"/>
  <c r="H124" i="3"/>
  <c r="H154" i="3" s="1"/>
  <c r="I124" i="3"/>
  <c r="I154" i="3" s="1"/>
  <c r="J124" i="3"/>
  <c r="J154" i="3" s="1"/>
  <c r="K124" i="3"/>
  <c r="K154" i="3" s="1"/>
  <c r="L124" i="3"/>
  <c r="L154" i="3" s="1"/>
  <c r="M124" i="3"/>
  <c r="M154" i="3" s="1"/>
  <c r="N124" i="3"/>
  <c r="N154" i="3" s="1"/>
  <c r="O124" i="3"/>
  <c r="O154" i="3" s="1"/>
  <c r="E125" i="3"/>
  <c r="E155" i="3" s="1"/>
  <c r="F125" i="3"/>
  <c r="F155" i="3" s="1"/>
  <c r="G125" i="3"/>
  <c r="G155" i="3" s="1"/>
  <c r="H125" i="3"/>
  <c r="H155" i="3" s="1"/>
  <c r="I125" i="3"/>
  <c r="I155" i="3" s="1"/>
  <c r="J125" i="3"/>
  <c r="J155" i="3" s="1"/>
  <c r="K125" i="3"/>
  <c r="K155" i="3" s="1"/>
  <c r="L125" i="3"/>
  <c r="L155" i="3" s="1"/>
  <c r="M125" i="3"/>
  <c r="M155" i="3" s="1"/>
  <c r="N125" i="3"/>
  <c r="N155" i="3" s="1"/>
  <c r="O125" i="3"/>
  <c r="O155" i="3" s="1"/>
  <c r="E126" i="3"/>
  <c r="E156" i="3" s="1"/>
  <c r="F126" i="3"/>
  <c r="F156" i="3" s="1"/>
  <c r="G126" i="3"/>
  <c r="G156" i="3" s="1"/>
  <c r="H126" i="3"/>
  <c r="H156" i="3" s="1"/>
  <c r="I126" i="3"/>
  <c r="I156" i="3" s="1"/>
  <c r="J126" i="3"/>
  <c r="J156" i="3" s="1"/>
  <c r="K126" i="3"/>
  <c r="K156" i="3" s="1"/>
  <c r="L126" i="3"/>
  <c r="L156" i="3" s="1"/>
  <c r="M126" i="3"/>
  <c r="M156" i="3" s="1"/>
  <c r="N126" i="3"/>
  <c r="N156" i="3" s="1"/>
  <c r="O126" i="3"/>
  <c r="O156" i="3" s="1"/>
  <c r="E127" i="3"/>
  <c r="E157" i="3" s="1"/>
  <c r="F127" i="3"/>
  <c r="F157" i="3" s="1"/>
  <c r="G127" i="3"/>
  <c r="G157" i="3" s="1"/>
  <c r="H127" i="3"/>
  <c r="H157" i="3" s="1"/>
  <c r="I127" i="3"/>
  <c r="I157" i="3" s="1"/>
  <c r="J127" i="3"/>
  <c r="J157" i="3" s="1"/>
  <c r="K127" i="3"/>
  <c r="K157" i="3" s="1"/>
  <c r="L127" i="3"/>
  <c r="L157" i="3" s="1"/>
  <c r="M127" i="3"/>
  <c r="M157" i="3" s="1"/>
  <c r="N127" i="3"/>
  <c r="N157" i="3" s="1"/>
  <c r="O127" i="3"/>
  <c r="O157" i="3" s="1"/>
  <c r="D123" i="3"/>
  <c r="D153" i="3" s="1"/>
  <c r="D124" i="3"/>
  <c r="D154" i="3" s="1"/>
  <c r="D125" i="3"/>
  <c r="D155" i="3" s="1"/>
  <c r="D126" i="3"/>
  <c r="D156" i="3" s="1"/>
  <c r="D127" i="3"/>
  <c r="D157" i="3" s="1"/>
  <c r="D122" i="3"/>
  <c r="D152" i="3" s="1"/>
  <c r="E116" i="3"/>
  <c r="E146" i="3" s="1"/>
  <c r="F116" i="3"/>
  <c r="F146" i="3" s="1"/>
  <c r="G116" i="3"/>
  <c r="G146" i="3" s="1"/>
  <c r="H116" i="3"/>
  <c r="H146" i="3" s="1"/>
  <c r="I116" i="3"/>
  <c r="I146" i="3" s="1"/>
  <c r="J116" i="3"/>
  <c r="J146" i="3" s="1"/>
  <c r="K116" i="3"/>
  <c r="K146" i="3" s="1"/>
  <c r="L116" i="3"/>
  <c r="L146" i="3" s="1"/>
  <c r="M116" i="3"/>
  <c r="M146" i="3" s="1"/>
  <c r="N116" i="3"/>
  <c r="N146" i="3" s="1"/>
  <c r="O116" i="3"/>
  <c r="O146" i="3" s="1"/>
  <c r="E117" i="3"/>
  <c r="E147" i="3" s="1"/>
  <c r="F117" i="3"/>
  <c r="F147" i="3" s="1"/>
  <c r="G117" i="3"/>
  <c r="G147" i="3" s="1"/>
  <c r="H117" i="3"/>
  <c r="H147" i="3" s="1"/>
  <c r="I117" i="3"/>
  <c r="I147" i="3" s="1"/>
  <c r="J117" i="3"/>
  <c r="J147" i="3" s="1"/>
  <c r="K117" i="3"/>
  <c r="K147" i="3" s="1"/>
  <c r="L117" i="3"/>
  <c r="L147" i="3" s="1"/>
  <c r="M117" i="3"/>
  <c r="M147" i="3" s="1"/>
  <c r="N117" i="3"/>
  <c r="N147" i="3" s="1"/>
  <c r="O117" i="3"/>
  <c r="O147" i="3" s="1"/>
  <c r="E118" i="3"/>
  <c r="E148" i="3" s="1"/>
  <c r="F118" i="3"/>
  <c r="F148" i="3" s="1"/>
  <c r="G118" i="3"/>
  <c r="G148" i="3" s="1"/>
  <c r="H118" i="3"/>
  <c r="H148" i="3" s="1"/>
  <c r="I118" i="3"/>
  <c r="I148" i="3" s="1"/>
  <c r="J118" i="3"/>
  <c r="J148" i="3" s="1"/>
  <c r="K118" i="3"/>
  <c r="K148" i="3" s="1"/>
  <c r="L118" i="3"/>
  <c r="L148" i="3" s="1"/>
  <c r="M118" i="3"/>
  <c r="M148" i="3" s="1"/>
  <c r="N118" i="3"/>
  <c r="N148" i="3" s="1"/>
  <c r="O118" i="3"/>
  <c r="O148" i="3" s="1"/>
  <c r="E119" i="3"/>
  <c r="E149" i="3" s="1"/>
  <c r="F119" i="3"/>
  <c r="F149" i="3" s="1"/>
  <c r="G119" i="3"/>
  <c r="G149" i="3" s="1"/>
  <c r="H119" i="3"/>
  <c r="H149" i="3" s="1"/>
  <c r="I119" i="3"/>
  <c r="I149" i="3" s="1"/>
  <c r="J119" i="3"/>
  <c r="J149" i="3" s="1"/>
  <c r="K119" i="3"/>
  <c r="K149" i="3" s="1"/>
  <c r="L119" i="3"/>
  <c r="L149" i="3" s="1"/>
  <c r="M119" i="3"/>
  <c r="M149" i="3" s="1"/>
  <c r="N119" i="3"/>
  <c r="N149" i="3" s="1"/>
  <c r="O119" i="3"/>
  <c r="O149" i="3" s="1"/>
  <c r="E120" i="3"/>
  <c r="E150" i="3" s="1"/>
  <c r="F120" i="3"/>
  <c r="F150" i="3" s="1"/>
  <c r="G120" i="3"/>
  <c r="G150" i="3" s="1"/>
  <c r="H120" i="3"/>
  <c r="H150" i="3" s="1"/>
  <c r="I120" i="3"/>
  <c r="I150" i="3" s="1"/>
  <c r="J120" i="3"/>
  <c r="J150" i="3" s="1"/>
  <c r="K120" i="3"/>
  <c r="K150" i="3" s="1"/>
  <c r="L120" i="3"/>
  <c r="L150" i="3" s="1"/>
  <c r="M120" i="3"/>
  <c r="M150" i="3" s="1"/>
  <c r="N120" i="3"/>
  <c r="N150" i="3" s="1"/>
  <c r="O120" i="3"/>
  <c r="O150" i="3" s="1"/>
  <c r="E121" i="3"/>
  <c r="E151" i="3" s="1"/>
  <c r="F121" i="3"/>
  <c r="F151" i="3" s="1"/>
  <c r="G121" i="3"/>
  <c r="G151" i="3" s="1"/>
  <c r="H121" i="3"/>
  <c r="H151" i="3" s="1"/>
  <c r="I121" i="3"/>
  <c r="I151" i="3" s="1"/>
  <c r="J121" i="3"/>
  <c r="J151" i="3" s="1"/>
  <c r="K121" i="3"/>
  <c r="K151" i="3" s="1"/>
  <c r="L121" i="3"/>
  <c r="L151" i="3" s="1"/>
  <c r="M121" i="3"/>
  <c r="M151" i="3" s="1"/>
  <c r="N121" i="3"/>
  <c r="N151" i="3" s="1"/>
  <c r="O121" i="3"/>
  <c r="O151" i="3" s="1"/>
  <c r="D117" i="3"/>
  <c r="D147" i="3" s="1"/>
  <c r="D118" i="3"/>
  <c r="D148" i="3" s="1"/>
  <c r="D119" i="3"/>
  <c r="D149" i="3" s="1"/>
  <c r="D120" i="3"/>
  <c r="D150" i="3" s="1"/>
  <c r="D121" i="3"/>
  <c r="D151" i="3" s="1"/>
  <c r="D116" i="3"/>
  <c r="D146" i="3" s="1"/>
  <c r="E110" i="3"/>
  <c r="E140" i="3" s="1"/>
  <c r="F110" i="3"/>
  <c r="F140" i="3" s="1"/>
  <c r="G110" i="3"/>
  <c r="G140" i="3" s="1"/>
  <c r="H110" i="3"/>
  <c r="H140" i="3" s="1"/>
  <c r="I110" i="3"/>
  <c r="I140" i="3" s="1"/>
  <c r="J110" i="3"/>
  <c r="J140" i="3" s="1"/>
  <c r="K110" i="3"/>
  <c r="K140" i="3" s="1"/>
  <c r="L110" i="3"/>
  <c r="L140" i="3" s="1"/>
  <c r="M110" i="3"/>
  <c r="M140" i="3" s="1"/>
  <c r="N110" i="3"/>
  <c r="N140" i="3" s="1"/>
  <c r="O110" i="3"/>
  <c r="O140" i="3" s="1"/>
  <c r="E111" i="3"/>
  <c r="E141" i="3" s="1"/>
  <c r="F111" i="3"/>
  <c r="F141" i="3" s="1"/>
  <c r="G111" i="3"/>
  <c r="G141" i="3" s="1"/>
  <c r="H111" i="3"/>
  <c r="H141" i="3" s="1"/>
  <c r="I111" i="3"/>
  <c r="I141" i="3" s="1"/>
  <c r="J111" i="3"/>
  <c r="J141" i="3" s="1"/>
  <c r="K111" i="3"/>
  <c r="K141" i="3" s="1"/>
  <c r="L111" i="3"/>
  <c r="L141" i="3" s="1"/>
  <c r="M111" i="3"/>
  <c r="M141" i="3" s="1"/>
  <c r="N111" i="3"/>
  <c r="N141" i="3" s="1"/>
  <c r="O111" i="3"/>
  <c r="O141" i="3" s="1"/>
  <c r="E112" i="3"/>
  <c r="E142" i="3" s="1"/>
  <c r="F112" i="3"/>
  <c r="F142" i="3" s="1"/>
  <c r="G112" i="3"/>
  <c r="G142" i="3" s="1"/>
  <c r="H112" i="3"/>
  <c r="H142" i="3" s="1"/>
  <c r="I112" i="3"/>
  <c r="I142" i="3" s="1"/>
  <c r="J112" i="3"/>
  <c r="J142" i="3" s="1"/>
  <c r="K112" i="3"/>
  <c r="K142" i="3" s="1"/>
  <c r="L112" i="3"/>
  <c r="L142" i="3" s="1"/>
  <c r="M112" i="3"/>
  <c r="M142" i="3" s="1"/>
  <c r="N112" i="3"/>
  <c r="N142" i="3" s="1"/>
  <c r="O112" i="3"/>
  <c r="O142" i="3" s="1"/>
  <c r="E113" i="3"/>
  <c r="E143" i="3" s="1"/>
  <c r="F113" i="3"/>
  <c r="F143" i="3" s="1"/>
  <c r="G113" i="3"/>
  <c r="G143" i="3" s="1"/>
  <c r="H113" i="3"/>
  <c r="H143" i="3" s="1"/>
  <c r="I113" i="3"/>
  <c r="I143" i="3" s="1"/>
  <c r="J113" i="3"/>
  <c r="J143" i="3" s="1"/>
  <c r="K113" i="3"/>
  <c r="K143" i="3" s="1"/>
  <c r="L113" i="3"/>
  <c r="L143" i="3" s="1"/>
  <c r="M113" i="3"/>
  <c r="M143" i="3" s="1"/>
  <c r="N113" i="3"/>
  <c r="N143" i="3" s="1"/>
  <c r="O113" i="3"/>
  <c r="O143" i="3" s="1"/>
  <c r="E114" i="3"/>
  <c r="E144" i="3" s="1"/>
  <c r="F114" i="3"/>
  <c r="F144" i="3" s="1"/>
  <c r="G114" i="3"/>
  <c r="G144" i="3" s="1"/>
  <c r="H114" i="3"/>
  <c r="H144" i="3" s="1"/>
  <c r="I114" i="3"/>
  <c r="I144" i="3" s="1"/>
  <c r="J114" i="3"/>
  <c r="J144" i="3" s="1"/>
  <c r="K114" i="3"/>
  <c r="K144" i="3" s="1"/>
  <c r="L114" i="3"/>
  <c r="L144" i="3" s="1"/>
  <c r="M114" i="3"/>
  <c r="M144" i="3" s="1"/>
  <c r="N114" i="3"/>
  <c r="N144" i="3" s="1"/>
  <c r="O114" i="3"/>
  <c r="O144" i="3" s="1"/>
  <c r="E115" i="3"/>
  <c r="E145" i="3" s="1"/>
  <c r="F115" i="3"/>
  <c r="F145" i="3" s="1"/>
  <c r="G115" i="3"/>
  <c r="G145" i="3" s="1"/>
  <c r="H115" i="3"/>
  <c r="H145" i="3" s="1"/>
  <c r="I115" i="3"/>
  <c r="I145" i="3" s="1"/>
  <c r="J115" i="3"/>
  <c r="J145" i="3" s="1"/>
  <c r="K115" i="3"/>
  <c r="K145" i="3" s="1"/>
  <c r="L115" i="3"/>
  <c r="L145" i="3" s="1"/>
  <c r="M115" i="3"/>
  <c r="M145" i="3" s="1"/>
  <c r="N115" i="3"/>
  <c r="N145" i="3" s="1"/>
  <c r="O115" i="3"/>
  <c r="O145" i="3" s="1"/>
  <c r="D111" i="3"/>
  <c r="D141" i="3" s="1"/>
  <c r="D112" i="3"/>
  <c r="D142" i="3" s="1"/>
  <c r="D113" i="3"/>
  <c r="D143" i="3" s="1"/>
  <c r="D114" i="3"/>
  <c r="D144" i="3" s="1"/>
  <c r="D115" i="3"/>
  <c r="D145" i="3" s="1"/>
  <c r="D110" i="3"/>
  <c r="D140" i="3" s="1"/>
  <c r="E104" i="3"/>
  <c r="E134" i="3" s="1"/>
  <c r="F104" i="3"/>
  <c r="F134" i="3" s="1"/>
  <c r="G104" i="3"/>
  <c r="G134" i="3" s="1"/>
  <c r="H104" i="3"/>
  <c r="H134" i="3" s="1"/>
  <c r="I104" i="3"/>
  <c r="I134" i="3" s="1"/>
  <c r="J104" i="3"/>
  <c r="J134" i="3" s="1"/>
  <c r="K104" i="3"/>
  <c r="K134" i="3" s="1"/>
  <c r="L104" i="3"/>
  <c r="L134" i="3" s="1"/>
  <c r="M104" i="3"/>
  <c r="M134" i="3" s="1"/>
  <c r="N104" i="3"/>
  <c r="N134" i="3" s="1"/>
  <c r="O104" i="3"/>
  <c r="O134" i="3" s="1"/>
  <c r="E105" i="3"/>
  <c r="E135" i="3" s="1"/>
  <c r="F105" i="3"/>
  <c r="F135" i="3" s="1"/>
  <c r="G105" i="3"/>
  <c r="G135" i="3" s="1"/>
  <c r="H105" i="3"/>
  <c r="H135" i="3" s="1"/>
  <c r="I105" i="3"/>
  <c r="I135" i="3" s="1"/>
  <c r="J105" i="3"/>
  <c r="J135" i="3" s="1"/>
  <c r="K105" i="3"/>
  <c r="K135" i="3" s="1"/>
  <c r="L105" i="3"/>
  <c r="L135" i="3" s="1"/>
  <c r="M105" i="3"/>
  <c r="M135" i="3" s="1"/>
  <c r="N105" i="3"/>
  <c r="N135" i="3" s="1"/>
  <c r="O105" i="3"/>
  <c r="O135" i="3" s="1"/>
  <c r="E106" i="3"/>
  <c r="E136" i="3" s="1"/>
  <c r="F106" i="3"/>
  <c r="F136" i="3" s="1"/>
  <c r="G106" i="3"/>
  <c r="G136" i="3" s="1"/>
  <c r="H106" i="3"/>
  <c r="H136" i="3" s="1"/>
  <c r="I106" i="3"/>
  <c r="I136" i="3" s="1"/>
  <c r="J106" i="3"/>
  <c r="J136" i="3" s="1"/>
  <c r="K106" i="3"/>
  <c r="K136" i="3" s="1"/>
  <c r="L106" i="3"/>
  <c r="L136" i="3" s="1"/>
  <c r="M106" i="3"/>
  <c r="M136" i="3" s="1"/>
  <c r="N106" i="3"/>
  <c r="N136" i="3" s="1"/>
  <c r="O106" i="3"/>
  <c r="O136" i="3" s="1"/>
  <c r="E107" i="3"/>
  <c r="E137" i="3" s="1"/>
  <c r="F107" i="3"/>
  <c r="F137" i="3" s="1"/>
  <c r="G107" i="3"/>
  <c r="G137" i="3" s="1"/>
  <c r="H107" i="3"/>
  <c r="H137" i="3" s="1"/>
  <c r="I107" i="3"/>
  <c r="I137" i="3" s="1"/>
  <c r="J107" i="3"/>
  <c r="J137" i="3" s="1"/>
  <c r="K107" i="3"/>
  <c r="K137" i="3" s="1"/>
  <c r="L107" i="3"/>
  <c r="L137" i="3" s="1"/>
  <c r="M107" i="3"/>
  <c r="M137" i="3" s="1"/>
  <c r="N107" i="3"/>
  <c r="N137" i="3" s="1"/>
  <c r="O107" i="3"/>
  <c r="O137" i="3" s="1"/>
  <c r="E108" i="3"/>
  <c r="E138" i="3" s="1"/>
  <c r="F108" i="3"/>
  <c r="F138" i="3" s="1"/>
  <c r="G108" i="3"/>
  <c r="G138" i="3" s="1"/>
  <c r="H108" i="3"/>
  <c r="H138" i="3" s="1"/>
  <c r="I108" i="3"/>
  <c r="I138" i="3" s="1"/>
  <c r="J108" i="3"/>
  <c r="J138" i="3" s="1"/>
  <c r="K108" i="3"/>
  <c r="K138" i="3" s="1"/>
  <c r="L108" i="3"/>
  <c r="L138" i="3" s="1"/>
  <c r="M108" i="3"/>
  <c r="M138" i="3" s="1"/>
  <c r="N108" i="3"/>
  <c r="N138" i="3" s="1"/>
  <c r="O108" i="3"/>
  <c r="O138" i="3" s="1"/>
  <c r="E109" i="3"/>
  <c r="E139" i="3" s="1"/>
  <c r="F109" i="3"/>
  <c r="F139" i="3" s="1"/>
  <c r="G109" i="3"/>
  <c r="G139" i="3" s="1"/>
  <c r="H109" i="3"/>
  <c r="H139" i="3" s="1"/>
  <c r="I109" i="3"/>
  <c r="I139" i="3" s="1"/>
  <c r="J109" i="3"/>
  <c r="J139" i="3" s="1"/>
  <c r="K109" i="3"/>
  <c r="K139" i="3" s="1"/>
  <c r="L109" i="3"/>
  <c r="L139" i="3" s="1"/>
  <c r="M109" i="3"/>
  <c r="M139" i="3" s="1"/>
  <c r="N109" i="3"/>
  <c r="N139" i="3" s="1"/>
  <c r="O109" i="3"/>
  <c r="O139" i="3" s="1"/>
  <c r="D105" i="3"/>
  <c r="D135" i="3" s="1"/>
  <c r="D106" i="3"/>
  <c r="D136" i="3" s="1"/>
  <c r="D107" i="3"/>
  <c r="D137" i="3" s="1"/>
  <c r="D108" i="3"/>
  <c r="D138" i="3" s="1"/>
  <c r="D109" i="3"/>
  <c r="D139" i="3" s="1"/>
  <c r="D104" i="3"/>
  <c r="D134" i="3" s="1"/>
  <c r="D45" i="3"/>
  <c r="D75" i="3" s="1"/>
  <c r="E45" i="3"/>
  <c r="E75" i="3" s="1"/>
  <c r="F45" i="3"/>
  <c r="F75" i="3" s="1"/>
  <c r="G45" i="3"/>
  <c r="G75" i="3" s="1"/>
  <c r="H45" i="3"/>
  <c r="H75" i="3" s="1"/>
  <c r="I45" i="3"/>
  <c r="I75" i="3" s="1"/>
  <c r="J45" i="3"/>
  <c r="J75" i="3" s="1"/>
  <c r="K45" i="3"/>
  <c r="K75" i="3" s="1"/>
  <c r="L45" i="3"/>
  <c r="L75" i="3" s="1"/>
  <c r="M45" i="3"/>
  <c r="M75" i="3" s="1"/>
  <c r="N45" i="3"/>
  <c r="N75" i="3" s="1"/>
  <c r="O45" i="3"/>
  <c r="O75" i="3" s="1"/>
  <c r="D46" i="3"/>
  <c r="D76" i="3" s="1"/>
  <c r="E46" i="3"/>
  <c r="E76" i="3" s="1"/>
  <c r="F46" i="3"/>
  <c r="F76" i="3" s="1"/>
  <c r="G46" i="3"/>
  <c r="G76" i="3" s="1"/>
  <c r="H46" i="3"/>
  <c r="H76" i="3" s="1"/>
  <c r="I46" i="3"/>
  <c r="I76" i="3" s="1"/>
  <c r="J46" i="3"/>
  <c r="J76" i="3" s="1"/>
  <c r="K46" i="3"/>
  <c r="K76" i="3" s="1"/>
  <c r="L46" i="3"/>
  <c r="L76" i="3" s="1"/>
  <c r="M46" i="3"/>
  <c r="M76" i="3" s="1"/>
  <c r="N46" i="3"/>
  <c r="N76" i="3" s="1"/>
  <c r="O46" i="3"/>
  <c r="O76" i="3" s="1"/>
  <c r="D47" i="3"/>
  <c r="D77" i="3" s="1"/>
  <c r="E47" i="3"/>
  <c r="E77" i="3" s="1"/>
  <c r="F47" i="3"/>
  <c r="F77" i="3" s="1"/>
  <c r="G47" i="3"/>
  <c r="G77" i="3" s="1"/>
  <c r="H47" i="3"/>
  <c r="H77" i="3" s="1"/>
  <c r="I47" i="3"/>
  <c r="I77" i="3" s="1"/>
  <c r="J47" i="3"/>
  <c r="J77" i="3" s="1"/>
  <c r="K47" i="3"/>
  <c r="K77" i="3" s="1"/>
  <c r="L47" i="3"/>
  <c r="L77" i="3" s="1"/>
  <c r="M47" i="3"/>
  <c r="M77" i="3" s="1"/>
  <c r="N47" i="3"/>
  <c r="N77" i="3" s="1"/>
  <c r="O47" i="3"/>
  <c r="O77" i="3" s="1"/>
  <c r="D48" i="3"/>
  <c r="D78" i="3" s="1"/>
  <c r="E48" i="3"/>
  <c r="E78" i="3" s="1"/>
  <c r="F48" i="3"/>
  <c r="F78" i="3" s="1"/>
  <c r="G48" i="3"/>
  <c r="G78" i="3" s="1"/>
  <c r="H48" i="3"/>
  <c r="H78" i="3" s="1"/>
  <c r="I48" i="3"/>
  <c r="I78" i="3" s="1"/>
  <c r="J48" i="3"/>
  <c r="J78" i="3" s="1"/>
  <c r="K48" i="3"/>
  <c r="K78" i="3" s="1"/>
  <c r="L48" i="3"/>
  <c r="L78" i="3" s="1"/>
  <c r="M48" i="3"/>
  <c r="M78" i="3" s="1"/>
  <c r="N48" i="3"/>
  <c r="N78" i="3" s="1"/>
  <c r="O48" i="3"/>
  <c r="O78" i="3" s="1"/>
  <c r="D49" i="3"/>
  <c r="D79" i="3" s="1"/>
  <c r="E49" i="3"/>
  <c r="E79" i="3" s="1"/>
  <c r="F49" i="3"/>
  <c r="F79" i="3" s="1"/>
  <c r="G49" i="3"/>
  <c r="G79" i="3" s="1"/>
  <c r="H49" i="3"/>
  <c r="H79" i="3" s="1"/>
  <c r="I49" i="3"/>
  <c r="I79" i="3" s="1"/>
  <c r="J49" i="3"/>
  <c r="J79" i="3" s="1"/>
  <c r="K49" i="3"/>
  <c r="K79" i="3" s="1"/>
  <c r="L49" i="3"/>
  <c r="L79" i="3" s="1"/>
  <c r="M49" i="3"/>
  <c r="M79" i="3" s="1"/>
  <c r="N49" i="3"/>
  <c r="N79" i="3" s="1"/>
  <c r="O49" i="3"/>
  <c r="O79" i="3" s="1"/>
  <c r="D50" i="3"/>
  <c r="D80" i="3" s="1"/>
  <c r="E50" i="3"/>
  <c r="E80" i="3" s="1"/>
  <c r="F50" i="3"/>
  <c r="F80" i="3" s="1"/>
  <c r="G50" i="3"/>
  <c r="G80" i="3" s="1"/>
  <c r="H50" i="3"/>
  <c r="H80" i="3" s="1"/>
  <c r="I50" i="3"/>
  <c r="I80" i="3" s="1"/>
  <c r="J50" i="3"/>
  <c r="J80" i="3" s="1"/>
  <c r="K50" i="3"/>
  <c r="K80" i="3" s="1"/>
  <c r="L50" i="3"/>
  <c r="L80" i="3" s="1"/>
  <c r="M50" i="3"/>
  <c r="M80" i="3" s="1"/>
  <c r="N50" i="3"/>
  <c r="N80" i="3" s="1"/>
  <c r="O50" i="3"/>
  <c r="O80" i="3" s="1"/>
  <c r="D51" i="3"/>
  <c r="D81" i="3" s="1"/>
  <c r="E51" i="3"/>
  <c r="E81" i="3" s="1"/>
  <c r="F51" i="3"/>
  <c r="F81" i="3" s="1"/>
  <c r="G51" i="3"/>
  <c r="G81" i="3" s="1"/>
  <c r="H51" i="3"/>
  <c r="H81" i="3" s="1"/>
  <c r="I51" i="3"/>
  <c r="I81" i="3" s="1"/>
  <c r="J51" i="3"/>
  <c r="J81" i="3" s="1"/>
  <c r="K51" i="3"/>
  <c r="K81" i="3" s="1"/>
  <c r="L51" i="3"/>
  <c r="L81" i="3" s="1"/>
  <c r="M51" i="3"/>
  <c r="M81" i="3" s="1"/>
  <c r="N51" i="3"/>
  <c r="N81" i="3" s="1"/>
  <c r="O51" i="3"/>
  <c r="O81" i="3" s="1"/>
  <c r="D52" i="3"/>
  <c r="D82" i="3" s="1"/>
  <c r="E52" i="3"/>
  <c r="E82" i="3" s="1"/>
  <c r="F52" i="3"/>
  <c r="F82" i="3" s="1"/>
  <c r="G52" i="3"/>
  <c r="G82" i="3" s="1"/>
  <c r="H52" i="3"/>
  <c r="H82" i="3" s="1"/>
  <c r="I52" i="3"/>
  <c r="I82" i="3" s="1"/>
  <c r="J52" i="3"/>
  <c r="J82" i="3" s="1"/>
  <c r="K52" i="3"/>
  <c r="K82" i="3" s="1"/>
  <c r="L52" i="3"/>
  <c r="L82" i="3" s="1"/>
  <c r="M52" i="3"/>
  <c r="M82" i="3" s="1"/>
  <c r="N52" i="3"/>
  <c r="N82" i="3" s="1"/>
  <c r="O52" i="3"/>
  <c r="O82" i="3" s="1"/>
  <c r="D53" i="3"/>
  <c r="D83" i="3" s="1"/>
  <c r="E53" i="3"/>
  <c r="E83" i="3" s="1"/>
  <c r="F53" i="3"/>
  <c r="F83" i="3" s="1"/>
  <c r="G53" i="3"/>
  <c r="G83" i="3" s="1"/>
  <c r="H53" i="3"/>
  <c r="H83" i="3" s="1"/>
  <c r="I53" i="3"/>
  <c r="I83" i="3" s="1"/>
  <c r="J53" i="3"/>
  <c r="J83" i="3" s="1"/>
  <c r="K53" i="3"/>
  <c r="K83" i="3" s="1"/>
  <c r="L53" i="3"/>
  <c r="L83" i="3" s="1"/>
  <c r="M53" i="3"/>
  <c r="M83" i="3" s="1"/>
  <c r="N53" i="3"/>
  <c r="N83" i="3" s="1"/>
  <c r="O53" i="3"/>
  <c r="O83" i="3" s="1"/>
  <c r="D54" i="3"/>
  <c r="D84" i="3" s="1"/>
  <c r="E54" i="3"/>
  <c r="E84" i="3" s="1"/>
  <c r="F54" i="3"/>
  <c r="F84" i="3" s="1"/>
  <c r="G54" i="3"/>
  <c r="G84" i="3" s="1"/>
  <c r="H54" i="3"/>
  <c r="H84" i="3" s="1"/>
  <c r="I54" i="3"/>
  <c r="I84" i="3" s="1"/>
  <c r="J54" i="3"/>
  <c r="J84" i="3" s="1"/>
  <c r="K54" i="3"/>
  <c r="K84" i="3" s="1"/>
  <c r="L54" i="3"/>
  <c r="L84" i="3" s="1"/>
  <c r="M54" i="3"/>
  <c r="M84" i="3" s="1"/>
  <c r="N54" i="3"/>
  <c r="N84" i="3" s="1"/>
  <c r="O54" i="3"/>
  <c r="O84" i="3" s="1"/>
  <c r="D55" i="3"/>
  <c r="D85" i="3" s="1"/>
  <c r="E55" i="3"/>
  <c r="E85" i="3" s="1"/>
  <c r="F55" i="3"/>
  <c r="F85" i="3" s="1"/>
  <c r="G55" i="3"/>
  <c r="G85" i="3" s="1"/>
  <c r="H55" i="3"/>
  <c r="H85" i="3" s="1"/>
  <c r="I55" i="3"/>
  <c r="I85" i="3" s="1"/>
  <c r="J55" i="3"/>
  <c r="J85" i="3" s="1"/>
  <c r="K55" i="3"/>
  <c r="K85" i="3" s="1"/>
  <c r="L55" i="3"/>
  <c r="L85" i="3" s="1"/>
  <c r="M55" i="3"/>
  <c r="M85" i="3" s="1"/>
  <c r="N55" i="3"/>
  <c r="N85" i="3" s="1"/>
  <c r="O55" i="3"/>
  <c r="O85" i="3" s="1"/>
  <c r="D56" i="3"/>
  <c r="D86" i="3" s="1"/>
  <c r="E56" i="3"/>
  <c r="E86" i="3" s="1"/>
  <c r="F56" i="3"/>
  <c r="F86" i="3" s="1"/>
  <c r="G56" i="3"/>
  <c r="G86" i="3" s="1"/>
  <c r="H56" i="3"/>
  <c r="H86" i="3" s="1"/>
  <c r="I56" i="3"/>
  <c r="I86" i="3" s="1"/>
  <c r="J56" i="3"/>
  <c r="J86" i="3" s="1"/>
  <c r="K56" i="3"/>
  <c r="K86" i="3" s="1"/>
  <c r="L56" i="3"/>
  <c r="L86" i="3" s="1"/>
  <c r="M56" i="3"/>
  <c r="M86" i="3" s="1"/>
  <c r="N56" i="3"/>
  <c r="N86" i="3" s="1"/>
  <c r="O56" i="3"/>
  <c r="O86" i="3" s="1"/>
  <c r="D57" i="3"/>
  <c r="D87" i="3" s="1"/>
  <c r="E57" i="3"/>
  <c r="E87" i="3" s="1"/>
  <c r="F57" i="3"/>
  <c r="F87" i="3" s="1"/>
  <c r="G57" i="3"/>
  <c r="G87" i="3" s="1"/>
  <c r="H57" i="3"/>
  <c r="H87" i="3" s="1"/>
  <c r="I57" i="3"/>
  <c r="I87" i="3" s="1"/>
  <c r="J57" i="3"/>
  <c r="J87" i="3" s="1"/>
  <c r="K57" i="3"/>
  <c r="K87" i="3" s="1"/>
  <c r="L57" i="3"/>
  <c r="L87" i="3" s="1"/>
  <c r="M57" i="3"/>
  <c r="M87" i="3" s="1"/>
  <c r="N57" i="3"/>
  <c r="N87" i="3" s="1"/>
  <c r="O57" i="3"/>
  <c r="O87" i="3" s="1"/>
  <c r="D58" i="3"/>
  <c r="D88" i="3" s="1"/>
  <c r="E58" i="3"/>
  <c r="E88" i="3" s="1"/>
  <c r="F58" i="3"/>
  <c r="F88" i="3" s="1"/>
  <c r="G58" i="3"/>
  <c r="G88" i="3" s="1"/>
  <c r="H58" i="3"/>
  <c r="H88" i="3" s="1"/>
  <c r="I58" i="3"/>
  <c r="I88" i="3" s="1"/>
  <c r="J58" i="3"/>
  <c r="J88" i="3" s="1"/>
  <c r="K58" i="3"/>
  <c r="K88" i="3" s="1"/>
  <c r="L58" i="3"/>
  <c r="L88" i="3" s="1"/>
  <c r="M58" i="3"/>
  <c r="M88" i="3" s="1"/>
  <c r="N58" i="3"/>
  <c r="N88" i="3" s="1"/>
  <c r="O58" i="3"/>
  <c r="O88" i="3" s="1"/>
  <c r="D59" i="3"/>
  <c r="D89" i="3" s="1"/>
  <c r="E59" i="3"/>
  <c r="E89" i="3" s="1"/>
  <c r="F59" i="3"/>
  <c r="F89" i="3" s="1"/>
  <c r="G59" i="3"/>
  <c r="G89" i="3" s="1"/>
  <c r="H59" i="3"/>
  <c r="H89" i="3" s="1"/>
  <c r="I59" i="3"/>
  <c r="I89" i="3" s="1"/>
  <c r="J59" i="3"/>
  <c r="J89" i="3" s="1"/>
  <c r="K59" i="3"/>
  <c r="K89" i="3" s="1"/>
  <c r="L59" i="3"/>
  <c r="L89" i="3" s="1"/>
  <c r="M59" i="3"/>
  <c r="M89" i="3" s="1"/>
  <c r="N59" i="3"/>
  <c r="N89" i="3" s="1"/>
  <c r="O59" i="3"/>
  <c r="O89" i="3" s="1"/>
  <c r="D60" i="3"/>
  <c r="D90" i="3" s="1"/>
  <c r="E60" i="3"/>
  <c r="E90" i="3" s="1"/>
  <c r="F60" i="3"/>
  <c r="F90" i="3" s="1"/>
  <c r="G60" i="3"/>
  <c r="G90" i="3" s="1"/>
  <c r="H60" i="3"/>
  <c r="H90" i="3" s="1"/>
  <c r="I60" i="3"/>
  <c r="I90" i="3" s="1"/>
  <c r="J60" i="3"/>
  <c r="J90" i="3" s="1"/>
  <c r="K60" i="3"/>
  <c r="K90" i="3" s="1"/>
  <c r="L60" i="3"/>
  <c r="L90" i="3" s="1"/>
  <c r="M60" i="3"/>
  <c r="M90" i="3" s="1"/>
  <c r="N60" i="3"/>
  <c r="N90" i="3" s="1"/>
  <c r="O60" i="3"/>
  <c r="O90" i="3" s="1"/>
  <c r="D61" i="3"/>
  <c r="D91" i="3" s="1"/>
  <c r="E61" i="3"/>
  <c r="E91" i="3" s="1"/>
  <c r="F61" i="3"/>
  <c r="F91" i="3" s="1"/>
  <c r="G61" i="3"/>
  <c r="G91" i="3" s="1"/>
  <c r="H61" i="3"/>
  <c r="H91" i="3" s="1"/>
  <c r="I61" i="3"/>
  <c r="I91" i="3" s="1"/>
  <c r="J61" i="3"/>
  <c r="J91" i="3" s="1"/>
  <c r="K61" i="3"/>
  <c r="K91" i="3" s="1"/>
  <c r="L61" i="3"/>
  <c r="L91" i="3" s="1"/>
  <c r="M61" i="3"/>
  <c r="M91" i="3" s="1"/>
  <c r="N61" i="3"/>
  <c r="N91" i="3" s="1"/>
  <c r="O61" i="3"/>
  <c r="O91" i="3" s="1"/>
  <c r="D62" i="3"/>
  <c r="D92" i="3" s="1"/>
  <c r="E62" i="3"/>
  <c r="E92" i="3" s="1"/>
  <c r="F62" i="3"/>
  <c r="F92" i="3" s="1"/>
  <c r="G62" i="3"/>
  <c r="G92" i="3" s="1"/>
  <c r="H62" i="3"/>
  <c r="H92" i="3" s="1"/>
  <c r="I62" i="3"/>
  <c r="I92" i="3" s="1"/>
  <c r="J62" i="3"/>
  <c r="J92" i="3" s="1"/>
  <c r="K62" i="3"/>
  <c r="K92" i="3" s="1"/>
  <c r="L62" i="3"/>
  <c r="L92" i="3" s="1"/>
  <c r="M62" i="3"/>
  <c r="M92" i="3" s="1"/>
  <c r="N62" i="3"/>
  <c r="N92" i="3" s="1"/>
  <c r="O62" i="3"/>
  <c r="O92" i="3" s="1"/>
  <c r="D63" i="3"/>
  <c r="D93" i="3" s="1"/>
  <c r="E63" i="3"/>
  <c r="E93" i="3" s="1"/>
  <c r="F63" i="3"/>
  <c r="F93" i="3" s="1"/>
  <c r="G63" i="3"/>
  <c r="G93" i="3" s="1"/>
  <c r="H63" i="3"/>
  <c r="H93" i="3" s="1"/>
  <c r="I63" i="3"/>
  <c r="I93" i="3" s="1"/>
  <c r="J63" i="3"/>
  <c r="J93" i="3" s="1"/>
  <c r="K63" i="3"/>
  <c r="K93" i="3" s="1"/>
  <c r="L63" i="3"/>
  <c r="L93" i="3" s="1"/>
  <c r="M63" i="3"/>
  <c r="M93" i="3" s="1"/>
  <c r="N63" i="3"/>
  <c r="N93" i="3" s="1"/>
  <c r="O63" i="3"/>
  <c r="O93" i="3" s="1"/>
  <c r="D64" i="3"/>
  <c r="D94" i="3" s="1"/>
  <c r="E64" i="3"/>
  <c r="E94" i="3" s="1"/>
  <c r="F64" i="3"/>
  <c r="F94" i="3" s="1"/>
  <c r="G64" i="3"/>
  <c r="G94" i="3" s="1"/>
  <c r="H64" i="3"/>
  <c r="H94" i="3" s="1"/>
  <c r="I64" i="3"/>
  <c r="I94" i="3" s="1"/>
  <c r="J64" i="3"/>
  <c r="J94" i="3" s="1"/>
  <c r="K64" i="3"/>
  <c r="K94" i="3" s="1"/>
  <c r="L64" i="3"/>
  <c r="L94" i="3" s="1"/>
  <c r="M64" i="3"/>
  <c r="M94" i="3" s="1"/>
  <c r="N64" i="3"/>
  <c r="N94" i="3" s="1"/>
  <c r="O64" i="3"/>
  <c r="O94" i="3" s="1"/>
  <c r="D65" i="3"/>
  <c r="D95" i="3" s="1"/>
  <c r="E65" i="3"/>
  <c r="E95" i="3" s="1"/>
  <c r="F65" i="3"/>
  <c r="F95" i="3" s="1"/>
  <c r="G65" i="3"/>
  <c r="G95" i="3" s="1"/>
  <c r="H65" i="3"/>
  <c r="H95" i="3" s="1"/>
  <c r="I65" i="3"/>
  <c r="I95" i="3" s="1"/>
  <c r="J65" i="3"/>
  <c r="J95" i="3" s="1"/>
  <c r="K65" i="3"/>
  <c r="K95" i="3" s="1"/>
  <c r="L65" i="3"/>
  <c r="L95" i="3" s="1"/>
  <c r="M65" i="3"/>
  <c r="M95" i="3" s="1"/>
  <c r="N65" i="3"/>
  <c r="N95" i="3" s="1"/>
  <c r="O65" i="3"/>
  <c r="O95" i="3" s="1"/>
  <c r="D66" i="3"/>
  <c r="D96" i="3" s="1"/>
  <c r="E66" i="3"/>
  <c r="E96" i="3" s="1"/>
  <c r="F66" i="3"/>
  <c r="F96" i="3" s="1"/>
  <c r="G66" i="3"/>
  <c r="G96" i="3" s="1"/>
  <c r="H66" i="3"/>
  <c r="H96" i="3" s="1"/>
  <c r="I66" i="3"/>
  <c r="I96" i="3" s="1"/>
  <c r="J66" i="3"/>
  <c r="J96" i="3" s="1"/>
  <c r="K66" i="3"/>
  <c r="K96" i="3" s="1"/>
  <c r="L66" i="3"/>
  <c r="L96" i="3" s="1"/>
  <c r="M66" i="3"/>
  <c r="M96" i="3" s="1"/>
  <c r="N66" i="3"/>
  <c r="N96" i="3" s="1"/>
  <c r="O66" i="3"/>
  <c r="O96" i="3" s="1"/>
  <c r="D67" i="3"/>
  <c r="D97" i="3" s="1"/>
  <c r="E67" i="3"/>
  <c r="E97" i="3" s="1"/>
  <c r="F67" i="3"/>
  <c r="F97" i="3" s="1"/>
  <c r="G67" i="3"/>
  <c r="G97" i="3" s="1"/>
  <c r="H67" i="3"/>
  <c r="H97" i="3" s="1"/>
  <c r="I67" i="3"/>
  <c r="I97" i="3" s="1"/>
  <c r="J67" i="3"/>
  <c r="J97" i="3" s="1"/>
  <c r="K67" i="3"/>
  <c r="K97" i="3" s="1"/>
  <c r="L67" i="3"/>
  <c r="L97" i="3" s="1"/>
  <c r="M67" i="3"/>
  <c r="M97" i="3" s="1"/>
  <c r="N67" i="3"/>
  <c r="N97" i="3" s="1"/>
  <c r="O67" i="3"/>
  <c r="O97" i="3" s="1"/>
  <c r="E44" i="3"/>
  <c r="E74" i="3" s="1"/>
  <c r="F44" i="3"/>
  <c r="F74" i="3" s="1"/>
  <c r="G44" i="3"/>
  <c r="G74" i="3" s="1"/>
  <c r="H44" i="3"/>
  <c r="H74" i="3" s="1"/>
  <c r="I44" i="3"/>
  <c r="I74" i="3" s="1"/>
  <c r="J44" i="3"/>
  <c r="J74" i="3" s="1"/>
  <c r="K44" i="3"/>
  <c r="K74" i="3" s="1"/>
  <c r="L44" i="3"/>
  <c r="L74" i="3" s="1"/>
  <c r="M44" i="3"/>
  <c r="M74" i="3" s="1"/>
  <c r="N44" i="3"/>
  <c r="N74" i="3" s="1"/>
  <c r="O44" i="3"/>
  <c r="O74" i="3" s="1"/>
  <c r="D44" i="3"/>
  <c r="D74" i="3" s="1"/>
  <c r="Y11" i="1"/>
  <c r="AF11" i="1" s="1"/>
  <c r="Z11" i="1"/>
  <c r="AG11" i="1" s="1"/>
  <c r="AA11" i="1"/>
  <c r="AH11" i="1" s="1"/>
  <c r="Y12" i="1"/>
  <c r="AF12" i="1" s="1"/>
  <c r="Z12" i="1"/>
  <c r="AG12" i="1" s="1"/>
  <c r="AA12" i="1"/>
  <c r="AH12" i="1" s="1"/>
  <c r="Y13" i="1"/>
  <c r="AF13" i="1" s="1"/>
  <c r="Z13" i="1"/>
  <c r="AG13" i="1" s="1"/>
  <c r="AA13" i="1"/>
  <c r="AH13" i="1" s="1"/>
  <c r="Y14" i="1"/>
  <c r="AF14" i="1" s="1"/>
  <c r="Z14" i="1"/>
  <c r="AG14" i="1" s="1"/>
  <c r="AA14" i="1"/>
  <c r="AH14" i="1" s="1"/>
  <c r="Y15" i="1"/>
  <c r="AF15" i="1" s="1"/>
  <c r="Z15" i="1"/>
  <c r="AG15" i="1" s="1"/>
  <c r="AA15" i="1"/>
  <c r="AH15" i="1" s="1"/>
  <c r="Y16" i="1"/>
  <c r="AF16" i="1" s="1"/>
  <c r="Z16" i="1"/>
  <c r="AG16" i="1" s="1"/>
  <c r="AA16" i="1"/>
  <c r="AH16" i="1" s="1"/>
  <c r="Y17" i="1"/>
  <c r="AF17" i="1" s="1"/>
  <c r="Z17" i="1"/>
  <c r="AG17" i="1" s="1"/>
  <c r="AA17" i="1"/>
  <c r="AH17" i="1" s="1"/>
  <c r="Y21" i="1"/>
  <c r="AF21" i="1" s="1"/>
  <c r="Z21" i="1"/>
  <c r="AG21" i="1" s="1"/>
  <c r="AA21" i="1"/>
  <c r="AH21" i="1" s="1"/>
  <c r="Y22" i="1"/>
  <c r="AF22" i="1" s="1"/>
  <c r="Z22" i="1"/>
  <c r="AG22" i="1" s="1"/>
  <c r="AA22" i="1"/>
  <c r="AH22" i="1" s="1"/>
  <c r="Y23" i="1"/>
  <c r="AF23" i="1" s="1"/>
  <c r="Z23" i="1"/>
  <c r="AG23" i="1" s="1"/>
  <c r="AA23" i="1"/>
  <c r="AH23" i="1" s="1"/>
  <c r="Y24" i="1"/>
  <c r="AF24" i="1" s="1"/>
  <c r="Z24" i="1"/>
  <c r="AG24" i="1" s="1"/>
  <c r="AA24" i="1"/>
  <c r="AH24" i="1" s="1"/>
  <c r="Y25" i="1"/>
  <c r="AF25" i="1" s="1"/>
  <c r="Z25" i="1"/>
  <c r="AG25" i="1" s="1"/>
  <c r="AA25" i="1"/>
  <c r="AH25" i="1" s="1"/>
  <c r="Y26" i="1"/>
  <c r="AF26" i="1" s="1"/>
  <c r="Z26" i="1"/>
  <c r="AG26" i="1" s="1"/>
  <c r="AA26" i="1"/>
  <c r="AH26" i="1" s="1"/>
  <c r="Y27" i="1"/>
  <c r="AF27" i="1" s="1"/>
  <c r="Z27" i="1"/>
  <c r="AG27" i="1" s="1"/>
  <c r="AA27" i="1"/>
  <c r="AH27" i="1" s="1"/>
  <c r="Y31" i="1"/>
  <c r="AF31" i="1" s="1"/>
  <c r="Z31" i="1"/>
  <c r="AG31" i="1" s="1"/>
  <c r="AA31" i="1"/>
  <c r="AH31" i="1" s="1"/>
  <c r="Y32" i="1"/>
  <c r="AF32" i="1" s="1"/>
  <c r="Z32" i="1"/>
  <c r="AG32" i="1" s="1"/>
  <c r="AA32" i="1"/>
  <c r="AH32" i="1" s="1"/>
  <c r="Y33" i="1"/>
  <c r="AF33" i="1" s="1"/>
  <c r="Z33" i="1"/>
  <c r="AG33" i="1" s="1"/>
  <c r="AA33" i="1"/>
  <c r="AH33" i="1" s="1"/>
  <c r="Y34" i="1"/>
  <c r="AF34" i="1" s="1"/>
  <c r="Z34" i="1"/>
  <c r="AG34" i="1" s="1"/>
  <c r="AA34" i="1"/>
  <c r="AH34" i="1" s="1"/>
  <c r="Y35" i="1"/>
  <c r="AF35" i="1" s="1"/>
  <c r="Z35" i="1"/>
  <c r="AG35" i="1" s="1"/>
  <c r="AA35" i="1"/>
  <c r="AH35" i="1" s="1"/>
  <c r="Y36" i="1"/>
  <c r="AF36" i="1" s="1"/>
  <c r="Z36" i="1"/>
  <c r="AG36" i="1" s="1"/>
  <c r="AA36" i="1"/>
  <c r="AH36" i="1" s="1"/>
  <c r="Y37" i="1"/>
  <c r="AF37" i="1" s="1"/>
  <c r="Z37" i="1"/>
  <c r="AG37" i="1" s="1"/>
  <c r="AA37" i="1"/>
  <c r="AH37" i="1" s="1"/>
  <c r="Y42" i="1"/>
  <c r="AF42" i="1" s="1"/>
  <c r="Z42" i="1"/>
  <c r="AG42" i="1" s="1"/>
  <c r="AA42" i="1"/>
  <c r="AH42" i="1" s="1"/>
  <c r="Y43" i="1"/>
  <c r="AF43" i="1" s="1"/>
  <c r="Z43" i="1"/>
  <c r="AG43" i="1" s="1"/>
  <c r="AA43" i="1"/>
  <c r="AH43" i="1" s="1"/>
  <c r="Y44" i="1"/>
  <c r="AF44" i="1" s="1"/>
  <c r="Z44" i="1"/>
  <c r="AG44" i="1" s="1"/>
  <c r="AA44" i="1"/>
  <c r="AH44" i="1" s="1"/>
  <c r="Y45" i="1"/>
  <c r="AF45" i="1" s="1"/>
  <c r="Z45" i="1"/>
  <c r="AG45" i="1" s="1"/>
  <c r="AA45" i="1"/>
  <c r="AH45" i="1" s="1"/>
  <c r="Y46" i="1"/>
  <c r="AF46" i="1" s="1"/>
  <c r="Z46" i="1"/>
  <c r="AG46" i="1" s="1"/>
  <c r="AA46" i="1"/>
  <c r="AH46" i="1" s="1"/>
  <c r="Y47" i="1"/>
  <c r="AF47" i="1" s="1"/>
  <c r="Z47" i="1"/>
  <c r="AG47" i="1" s="1"/>
  <c r="AA47" i="1"/>
  <c r="AH47" i="1" s="1"/>
  <c r="Y48" i="1"/>
  <c r="AF48" i="1" s="1"/>
  <c r="Z48" i="1"/>
  <c r="AG48" i="1" s="1"/>
  <c r="AA48" i="1"/>
  <c r="AH48" i="1" s="1"/>
  <c r="Y52" i="1"/>
  <c r="AF52" i="1" s="1"/>
  <c r="Z52" i="1"/>
  <c r="AG52" i="1" s="1"/>
  <c r="AA52" i="1"/>
  <c r="AH52" i="1" s="1"/>
  <c r="Y53" i="1"/>
  <c r="AF53" i="1" s="1"/>
  <c r="Z53" i="1"/>
  <c r="AG53" i="1" s="1"/>
  <c r="AA53" i="1"/>
  <c r="AH53" i="1" s="1"/>
  <c r="Y54" i="1"/>
  <c r="AF54" i="1" s="1"/>
  <c r="Z54" i="1"/>
  <c r="AG54" i="1" s="1"/>
  <c r="AA54" i="1"/>
  <c r="AH54" i="1" s="1"/>
  <c r="Y55" i="1"/>
  <c r="AF55" i="1" s="1"/>
  <c r="Z55" i="1"/>
  <c r="AG55" i="1" s="1"/>
  <c r="AA55" i="1"/>
  <c r="AH55" i="1" s="1"/>
  <c r="Y56" i="1"/>
  <c r="AF56" i="1" s="1"/>
  <c r="Z56" i="1"/>
  <c r="AG56" i="1" s="1"/>
  <c r="AA56" i="1"/>
  <c r="AH56" i="1" s="1"/>
  <c r="Y57" i="1"/>
  <c r="AF57" i="1" s="1"/>
  <c r="Z57" i="1"/>
  <c r="AG57" i="1" s="1"/>
  <c r="AA57" i="1"/>
  <c r="AH57" i="1" s="1"/>
  <c r="Y58" i="1"/>
  <c r="AF58" i="1" s="1"/>
  <c r="Z58" i="1"/>
  <c r="AG58" i="1" s="1"/>
  <c r="AA58" i="1"/>
  <c r="AH58" i="1" s="1"/>
  <c r="Y62" i="1"/>
  <c r="AF62" i="1" s="1"/>
  <c r="Z62" i="1"/>
  <c r="AG62" i="1" s="1"/>
  <c r="AA62" i="1"/>
  <c r="AH62" i="1" s="1"/>
  <c r="Y63" i="1"/>
  <c r="AF63" i="1" s="1"/>
  <c r="Z63" i="1"/>
  <c r="AG63" i="1" s="1"/>
  <c r="AA63" i="1"/>
  <c r="AH63" i="1" s="1"/>
  <c r="Y64" i="1"/>
  <c r="AF64" i="1" s="1"/>
  <c r="Z64" i="1"/>
  <c r="AG64" i="1" s="1"/>
  <c r="AA64" i="1"/>
  <c r="AH64" i="1" s="1"/>
  <c r="Y65" i="1"/>
  <c r="AF65" i="1" s="1"/>
  <c r="Z65" i="1"/>
  <c r="AG65" i="1" s="1"/>
  <c r="AA65" i="1"/>
  <c r="AH65" i="1" s="1"/>
  <c r="Y66" i="1"/>
  <c r="AF66" i="1" s="1"/>
  <c r="Z66" i="1"/>
  <c r="AG66" i="1" s="1"/>
  <c r="AA66" i="1"/>
  <c r="AH66" i="1" s="1"/>
  <c r="Y67" i="1"/>
  <c r="AF67" i="1" s="1"/>
  <c r="Z67" i="1"/>
  <c r="AG67" i="1" s="1"/>
  <c r="AA67" i="1"/>
  <c r="AH67" i="1" s="1"/>
  <c r="Y68" i="1"/>
  <c r="AF68" i="1" s="1"/>
  <c r="Z68" i="1"/>
  <c r="AG68" i="1" s="1"/>
  <c r="AA68" i="1"/>
  <c r="AH68" i="1" s="1"/>
  <c r="X12" i="1"/>
  <c r="AE12" i="1" s="1"/>
  <c r="X13" i="1"/>
  <c r="AE13" i="1" s="1"/>
  <c r="X14" i="1"/>
  <c r="AE14" i="1" s="1"/>
  <c r="X15" i="1"/>
  <c r="AE15" i="1" s="1"/>
  <c r="X16" i="1"/>
  <c r="AE16" i="1" s="1"/>
  <c r="X17" i="1"/>
  <c r="AE17" i="1" s="1"/>
  <c r="X21" i="1"/>
  <c r="AE21" i="1" s="1"/>
  <c r="X22" i="1"/>
  <c r="AE22" i="1" s="1"/>
  <c r="X23" i="1"/>
  <c r="AE23" i="1" s="1"/>
  <c r="X24" i="1"/>
  <c r="AE24" i="1" s="1"/>
  <c r="X25" i="1"/>
  <c r="AE25" i="1" s="1"/>
  <c r="X26" i="1"/>
  <c r="AE26" i="1" s="1"/>
  <c r="X27" i="1"/>
  <c r="AE27" i="1" s="1"/>
  <c r="X31" i="1"/>
  <c r="AE31" i="1" s="1"/>
  <c r="X32" i="1"/>
  <c r="AE32" i="1" s="1"/>
  <c r="X33" i="1"/>
  <c r="AE33" i="1" s="1"/>
  <c r="X34" i="1"/>
  <c r="AE34" i="1" s="1"/>
  <c r="X35" i="1"/>
  <c r="AE35" i="1" s="1"/>
  <c r="X36" i="1"/>
  <c r="AE36" i="1" s="1"/>
  <c r="X37" i="1"/>
  <c r="AE37" i="1" s="1"/>
  <c r="X42" i="1"/>
  <c r="AE42" i="1" s="1"/>
  <c r="X43" i="1"/>
  <c r="AE43" i="1" s="1"/>
  <c r="X44" i="1"/>
  <c r="AE44" i="1" s="1"/>
  <c r="X45" i="1"/>
  <c r="AE45" i="1" s="1"/>
  <c r="X46" i="1"/>
  <c r="AE46" i="1" s="1"/>
  <c r="X47" i="1"/>
  <c r="AE47" i="1" s="1"/>
  <c r="X48" i="1"/>
  <c r="AE48" i="1" s="1"/>
  <c r="X52" i="1"/>
  <c r="AE52" i="1" s="1"/>
  <c r="X53" i="1"/>
  <c r="AE53" i="1" s="1"/>
  <c r="X54" i="1"/>
  <c r="AE54" i="1" s="1"/>
  <c r="X55" i="1"/>
  <c r="AE55" i="1" s="1"/>
  <c r="X56" i="1"/>
  <c r="AE56" i="1" s="1"/>
  <c r="X57" i="1"/>
  <c r="AE57" i="1" s="1"/>
  <c r="X58" i="1"/>
  <c r="AE58" i="1" s="1"/>
  <c r="X62" i="1"/>
  <c r="AE62" i="1" s="1"/>
  <c r="X63" i="1"/>
  <c r="AE63" i="1" s="1"/>
  <c r="X64" i="1"/>
  <c r="AE64" i="1" s="1"/>
  <c r="X65" i="1"/>
  <c r="AE65" i="1" s="1"/>
  <c r="X66" i="1"/>
  <c r="AE66" i="1" s="1"/>
  <c r="X67" i="1"/>
  <c r="AE67" i="1" s="1"/>
  <c r="X68" i="1"/>
  <c r="AE68" i="1" s="1"/>
  <c r="X11" i="1"/>
  <c r="AE11" i="1" s="1"/>
  <c r="M68" i="1"/>
  <c r="T68" i="1" s="1"/>
  <c r="L68" i="1"/>
  <c r="S68" i="1" s="1"/>
  <c r="K68" i="1"/>
  <c r="R68" i="1" s="1"/>
  <c r="J68" i="1"/>
  <c r="Q68" i="1" s="1"/>
  <c r="M67" i="1"/>
  <c r="T67" i="1" s="1"/>
  <c r="L67" i="1"/>
  <c r="S67" i="1" s="1"/>
  <c r="K67" i="1"/>
  <c r="R67" i="1" s="1"/>
  <c r="J67" i="1"/>
  <c r="Q67" i="1" s="1"/>
  <c r="M66" i="1"/>
  <c r="T66" i="1" s="1"/>
  <c r="L66" i="1"/>
  <c r="S66" i="1" s="1"/>
  <c r="K66" i="1"/>
  <c r="R66" i="1" s="1"/>
  <c r="J66" i="1"/>
  <c r="Q66" i="1" s="1"/>
  <c r="M65" i="1"/>
  <c r="T65" i="1" s="1"/>
  <c r="L65" i="1"/>
  <c r="S65" i="1" s="1"/>
  <c r="K65" i="1"/>
  <c r="R65" i="1" s="1"/>
  <c r="J65" i="1"/>
  <c r="Q65" i="1" s="1"/>
  <c r="M64" i="1"/>
  <c r="T64" i="1" s="1"/>
  <c r="L64" i="1"/>
  <c r="S64" i="1" s="1"/>
  <c r="K64" i="1"/>
  <c r="R64" i="1" s="1"/>
  <c r="J64" i="1"/>
  <c r="Q64" i="1" s="1"/>
  <c r="M63" i="1"/>
  <c r="T63" i="1" s="1"/>
  <c r="L63" i="1"/>
  <c r="S63" i="1" s="1"/>
  <c r="K63" i="1"/>
  <c r="R63" i="1" s="1"/>
  <c r="J63" i="1"/>
  <c r="Q63" i="1" s="1"/>
  <c r="M62" i="1"/>
  <c r="T62" i="1" s="1"/>
  <c r="L62" i="1"/>
  <c r="S62" i="1" s="1"/>
  <c r="K62" i="1"/>
  <c r="R62" i="1" s="1"/>
  <c r="J62" i="1"/>
  <c r="Q62" i="1" s="1"/>
  <c r="M58" i="1"/>
  <c r="T58" i="1" s="1"/>
  <c r="L58" i="1"/>
  <c r="S58" i="1" s="1"/>
  <c r="K58" i="1"/>
  <c r="R58" i="1" s="1"/>
  <c r="J58" i="1"/>
  <c r="Q58" i="1" s="1"/>
  <c r="M57" i="1"/>
  <c r="T57" i="1" s="1"/>
  <c r="L57" i="1"/>
  <c r="S57" i="1" s="1"/>
  <c r="K57" i="1"/>
  <c r="R57" i="1" s="1"/>
  <c r="J57" i="1"/>
  <c r="Q57" i="1" s="1"/>
  <c r="M56" i="1"/>
  <c r="T56" i="1" s="1"/>
  <c r="L56" i="1"/>
  <c r="S56" i="1" s="1"/>
  <c r="K56" i="1"/>
  <c r="R56" i="1" s="1"/>
  <c r="J56" i="1"/>
  <c r="Q56" i="1" s="1"/>
  <c r="M55" i="1"/>
  <c r="T55" i="1" s="1"/>
  <c r="L55" i="1"/>
  <c r="S55" i="1" s="1"/>
  <c r="K55" i="1"/>
  <c r="R55" i="1" s="1"/>
  <c r="J55" i="1"/>
  <c r="Q55" i="1" s="1"/>
  <c r="M54" i="1"/>
  <c r="T54" i="1" s="1"/>
  <c r="L54" i="1"/>
  <c r="S54" i="1" s="1"/>
  <c r="K54" i="1"/>
  <c r="R54" i="1" s="1"/>
  <c r="J54" i="1"/>
  <c r="Q54" i="1" s="1"/>
  <c r="M53" i="1"/>
  <c r="T53" i="1" s="1"/>
  <c r="L53" i="1"/>
  <c r="S53" i="1" s="1"/>
  <c r="K53" i="1"/>
  <c r="R53" i="1" s="1"/>
  <c r="J53" i="1"/>
  <c r="Q53" i="1" s="1"/>
  <c r="M52" i="1"/>
  <c r="T52" i="1" s="1"/>
  <c r="L52" i="1"/>
  <c r="S52" i="1" s="1"/>
  <c r="K52" i="1"/>
  <c r="R52" i="1" s="1"/>
  <c r="J52" i="1"/>
  <c r="Q52" i="1" s="1"/>
  <c r="M48" i="1"/>
  <c r="T48" i="1" s="1"/>
  <c r="L48" i="1"/>
  <c r="S48" i="1" s="1"/>
  <c r="K48" i="1"/>
  <c r="R48" i="1" s="1"/>
  <c r="J48" i="1"/>
  <c r="Q48" i="1" s="1"/>
  <c r="M47" i="1"/>
  <c r="T47" i="1" s="1"/>
  <c r="L47" i="1"/>
  <c r="S47" i="1" s="1"/>
  <c r="K47" i="1"/>
  <c r="R47" i="1" s="1"/>
  <c r="J47" i="1"/>
  <c r="Q47" i="1" s="1"/>
  <c r="M46" i="1"/>
  <c r="T46" i="1" s="1"/>
  <c r="L46" i="1"/>
  <c r="S46" i="1" s="1"/>
  <c r="K46" i="1"/>
  <c r="R46" i="1" s="1"/>
  <c r="J46" i="1"/>
  <c r="Q46" i="1" s="1"/>
  <c r="M45" i="1"/>
  <c r="T45" i="1" s="1"/>
  <c r="L45" i="1"/>
  <c r="S45" i="1" s="1"/>
  <c r="K45" i="1"/>
  <c r="R45" i="1" s="1"/>
  <c r="J45" i="1"/>
  <c r="Q45" i="1" s="1"/>
  <c r="M44" i="1"/>
  <c r="T44" i="1" s="1"/>
  <c r="L44" i="1"/>
  <c r="S44" i="1" s="1"/>
  <c r="K44" i="1"/>
  <c r="R44" i="1" s="1"/>
  <c r="J44" i="1"/>
  <c r="Q44" i="1" s="1"/>
  <c r="M43" i="1"/>
  <c r="T43" i="1" s="1"/>
  <c r="L43" i="1"/>
  <c r="S43" i="1" s="1"/>
  <c r="K43" i="1"/>
  <c r="R43" i="1" s="1"/>
  <c r="J43" i="1"/>
  <c r="Q43" i="1" s="1"/>
  <c r="M42" i="1"/>
  <c r="T42" i="1" s="1"/>
  <c r="L42" i="1"/>
  <c r="S42" i="1" s="1"/>
  <c r="K42" i="1"/>
  <c r="R42" i="1" s="1"/>
  <c r="J42" i="1"/>
  <c r="Q42" i="1" s="1"/>
  <c r="M37" i="1"/>
  <c r="T37" i="1" s="1"/>
  <c r="L37" i="1"/>
  <c r="S37" i="1" s="1"/>
  <c r="K37" i="1"/>
  <c r="R37" i="1" s="1"/>
  <c r="J37" i="1"/>
  <c r="Q37" i="1" s="1"/>
  <c r="M36" i="1"/>
  <c r="T36" i="1" s="1"/>
  <c r="L36" i="1"/>
  <c r="S36" i="1" s="1"/>
  <c r="K36" i="1"/>
  <c r="R36" i="1" s="1"/>
  <c r="J36" i="1"/>
  <c r="Q36" i="1" s="1"/>
  <c r="M35" i="1"/>
  <c r="T35" i="1" s="1"/>
  <c r="L35" i="1"/>
  <c r="S35" i="1" s="1"/>
  <c r="K35" i="1"/>
  <c r="R35" i="1" s="1"/>
  <c r="J35" i="1"/>
  <c r="Q35" i="1" s="1"/>
  <c r="M34" i="1"/>
  <c r="T34" i="1" s="1"/>
  <c r="L34" i="1"/>
  <c r="S34" i="1" s="1"/>
  <c r="K34" i="1"/>
  <c r="R34" i="1" s="1"/>
  <c r="J34" i="1"/>
  <c r="Q34" i="1" s="1"/>
  <c r="M33" i="1"/>
  <c r="T33" i="1" s="1"/>
  <c r="L33" i="1"/>
  <c r="S33" i="1" s="1"/>
  <c r="K33" i="1"/>
  <c r="R33" i="1" s="1"/>
  <c r="J33" i="1"/>
  <c r="Q33" i="1" s="1"/>
  <c r="M32" i="1"/>
  <c r="T32" i="1" s="1"/>
  <c r="L32" i="1"/>
  <c r="S32" i="1" s="1"/>
  <c r="K32" i="1"/>
  <c r="R32" i="1" s="1"/>
  <c r="J32" i="1"/>
  <c r="Q32" i="1" s="1"/>
  <c r="M31" i="1"/>
  <c r="T31" i="1" s="1"/>
  <c r="L31" i="1"/>
  <c r="S31" i="1" s="1"/>
  <c r="K31" i="1"/>
  <c r="R31" i="1" s="1"/>
  <c r="J31" i="1"/>
  <c r="Q31" i="1" s="1"/>
  <c r="M27" i="1"/>
  <c r="T27" i="1" s="1"/>
  <c r="L27" i="1"/>
  <c r="S27" i="1" s="1"/>
  <c r="K27" i="1"/>
  <c r="R27" i="1" s="1"/>
  <c r="J27" i="1"/>
  <c r="Q27" i="1" s="1"/>
  <c r="M26" i="1"/>
  <c r="T26" i="1" s="1"/>
  <c r="L26" i="1"/>
  <c r="S26" i="1" s="1"/>
  <c r="K26" i="1"/>
  <c r="R26" i="1" s="1"/>
  <c r="J26" i="1"/>
  <c r="Q26" i="1" s="1"/>
  <c r="M25" i="1"/>
  <c r="T25" i="1" s="1"/>
  <c r="L25" i="1"/>
  <c r="S25" i="1" s="1"/>
  <c r="K25" i="1"/>
  <c r="R25" i="1" s="1"/>
  <c r="J25" i="1"/>
  <c r="Q25" i="1" s="1"/>
  <c r="M24" i="1"/>
  <c r="T24" i="1" s="1"/>
  <c r="L24" i="1"/>
  <c r="S24" i="1" s="1"/>
  <c r="K24" i="1"/>
  <c r="R24" i="1" s="1"/>
  <c r="J24" i="1"/>
  <c r="Q24" i="1" s="1"/>
  <c r="M23" i="1"/>
  <c r="T23" i="1" s="1"/>
  <c r="L23" i="1"/>
  <c r="S23" i="1" s="1"/>
  <c r="K23" i="1"/>
  <c r="R23" i="1" s="1"/>
  <c r="J23" i="1"/>
  <c r="Q23" i="1" s="1"/>
  <c r="M22" i="1"/>
  <c r="T22" i="1" s="1"/>
  <c r="L22" i="1"/>
  <c r="S22" i="1" s="1"/>
  <c r="K22" i="1"/>
  <c r="R22" i="1" s="1"/>
  <c r="J22" i="1"/>
  <c r="Q22" i="1" s="1"/>
  <c r="M21" i="1"/>
  <c r="T21" i="1" s="1"/>
  <c r="L21" i="1"/>
  <c r="S21" i="1" s="1"/>
  <c r="K21" i="1"/>
  <c r="R21" i="1" s="1"/>
  <c r="J21" i="1"/>
  <c r="Q21" i="1" s="1"/>
  <c r="K11" i="1"/>
  <c r="R11" i="1" s="1"/>
  <c r="L11" i="1"/>
  <c r="S11" i="1" s="1"/>
  <c r="M11" i="1"/>
  <c r="T11" i="1" s="1"/>
  <c r="K12" i="1"/>
  <c r="R12" i="1" s="1"/>
  <c r="L12" i="1"/>
  <c r="S12" i="1" s="1"/>
  <c r="M12" i="1"/>
  <c r="T12" i="1" s="1"/>
  <c r="K13" i="1"/>
  <c r="R13" i="1" s="1"/>
  <c r="L13" i="1"/>
  <c r="S13" i="1" s="1"/>
  <c r="M13" i="1"/>
  <c r="T13" i="1" s="1"/>
  <c r="K14" i="1"/>
  <c r="R14" i="1" s="1"/>
  <c r="L14" i="1"/>
  <c r="S14" i="1" s="1"/>
  <c r="M14" i="1"/>
  <c r="T14" i="1" s="1"/>
  <c r="K15" i="1"/>
  <c r="R15" i="1" s="1"/>
  <c r="L15" i="1"/>
  <c r="S15" i="1" s="1"/>
  <c r="M15" i="1"/>
  <c r="T15" i="1" s="1"/>
  <c r="K16" i="1"/>
  <c r="R16" i="1" s="1"/>
  <c r="L16" i="1"/>
  <c r="S16" i="1" s="1"/>
  <c r="M16" i="1"/>
  <c r="T16" i="1" s="1"/>
  <c r="K17" i="1"/>
  <c r="R17" i="1" s="1"/>
  <c r="L17" i="1"/>
  <c r="S17" i="1" s="1"/>
  <c r="M17" i="1"/>
  <c r="T17" i="1" s="1"/>
  <c r="J12" i="1"/>
  <c r="Q12" i="1" s="1"/>
  <c r="J13" i="1"/>
  <c r="Q13" i="1" s="1"/>
  <c r="J14" i="1"/>
  <c r="Q14" i="1" s="1"/>
  <c r="J15" i="1"/>
  <c r="Q15" i="1" s="1"/>
  <c r="J16" i="1"/>
  <c r="Q16" i="1" s="1"/>
  <c r="J17" i="1"/>
  <c r="Q17" i="1" s="1"/>
  <c r="J11" i="1"/>
  <c r="Q11" i="1" s="1"/>
  <c r="B41" i="1" l="1" a="1"/>
  <c r="AD51" i="1" a="1"/>
  <c r="AD10" i="1" a="1"/>
  <c r="AD20" i="1" a="1"/>
  <c r="AD61" i="1" a="1"/>
  <c r="AD30" i="1" a="1"/>
  <c r="AD41" i="1" a="1"/>
  <c r="W51" i="1" a="1"/>
  <c r="W10" i="1" a="1"/>
  <c r="W41" i="1" a="1"/>
  <c r="W30" i="1" a="1"/>
  <c r="W20" i="1" a="1"/>
  <c r="W61" i="1" a="1"/>
  <c r="P30" i="1" a="1"/>
  <c r="I30" i="1" a="1"/>
  <c r="P20" i="1" a="1"/>
  <c r="I20" i="1" a="1"/>
  <c r="I61" i="1" a="1"/>
  <c r="P10" i="1" a="1"/>
  <c r="I51" i="1" a="1"/>
  <c r="B20" i="1" a="1"/>
  <c r="B61" i="1" a="1"/>
  <c r="I41" i="1" a="1"/>
  <c r="P51" i="1" a="1"/>
  <c r="B51" i="1" a="1"/>
  <c r="I10" i="1" a="1"/>
  <c r="P41" i="1" a="1"/>
  <c r="P61" i="1" a="1"/>
  <c r="B41" i="1" l="1"/>
  <c r="AD10" i="1"/>
  <c r="AD20" i="1"/>
  <c r="AD61" i="1"/>
  <c r="AD41" i="1"/>
  <c r="W10" i="1"/>
  <c r="W30" i="1"/>
  <c r="W61" i="1"/>
  <c r="P30" i="1"/>
  <c r="P20" i="1"/>
  <c r="I61" i="1"/>
  <c r="I51" i="1"/>
  <c r="I41" i="1"/>
  <c r="B51" i="1"/>
  <c r="P61" i="1"/>
  <c r="AD51" i="1"/>
  <c r="AD30" i="1"/>
  <c r="W51" i="1"/>
  <c r="W41" i="1"/>
  <c r="W20" i="1"/>
  <c r="I30" i="1"/>
  <c r="I20" i="1"/>
  <c r="I10" i="1"/>
  <c r="P10" i="1"/>
  <c r="B61" i="1"/>
  <c r="P51" i="1"/>
  <c r="P41" i="1"/>
  <c r="B20" i="1"/>
  <c r="B30" i="1" s="1" a="1"/>
  <c r="B30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<sst xmlns="http://schemas.openxmlformats.org/spreadsheetml/2006/main" count="878" uniqueCount="61">
  <si>
    <t>Tafel</t>
  </si>
  <si>
    <t>Fonds</t>
  </si>
  <si>
    <t>OP</t>
  </si>
  <si>
    <t>Latent_NP</t>
  </si>
  <si>
    <t>Ingegaan_NP</t>
  </si>
  <si>
    <t>Totaal</t>
  </si>
  <si>
    <t>1</t>
  </si>
  <si>
    <t>2</t>
  </si>
  <si>
    <t>3</t>
  </si>
  <si>
    <t>4</t>
  </si>
  <si>
    <t>5</t>
  </si>
  <si>
    <t>6</t>
  </si>
  <si>
    <t>OP man</t>
  </si>
  <si>
    <t>Latent_NP man</t>
  </si>
  <si>
    <t>Ingegaan_NP man</t>
  </si>
  <si>
    <t>Totaal man</t>
  </si>
  <si>
    <t>OP vrouw</t>
  </si>
  <si>
    <t>Latent_NP vrouw</t>
  </si>
  <si>
    <t>Ingegaan_NP vrouw</t>
  </si>
  <si>
    <t>Totaal vrouw</t>
  </si>
  <si>
    <t>Leeftijd</t>
  </si>
  <si>
    <t>Man</t>
  </si>
  <si>
    <t>Vrouw</t>
  </si>
  <si>
    <t>PP_opbouw + PP_risico_toekenning man</t>
  </si>
  <si>
    <t>PP_risico man</t>
  </si>
  <si>
    <t>OP + PP_opbouw + PP_risico_toekenning man</t>
  </si>
  <si>
    <t>OP + PP_risico man</t>
  </si>
  <si>
    <t>PP_opbouw + PP_risico_toekenning vrouw</t>
  </si>
  <si>
    <t>PP_risico vrouw</t>
  </si>
  <si>
    <t>OP + PP_opbouw + PP_risico_toekenning vrouw</t>
  </si>
  <si>
    <t>OP + PP_risico vrouw</t>
  </si>
  <si>
    <t>PP_opbouw + PP_risico_toekenning</t>
  </si>
  <si>
    <t>PP_risico</t>
  </si>
  <si>
    <t>OP + PP_opbouw + PP_risico_toekenning</t>
  </si>
  <si>
    <t>OP + PP_risico</t>
  </si>
  <si>
    <t>0. AG2024</t>
  </si>
  <si>
    <t>1. AG2024 PreCovid</t>
  </si>
  <si>
    <t>2. Update PreCovid HMD-sterftedate</t>
  </si>
  <si>
    <t>3. Modelwijziging startpunt prognose</t>
  </si>
  <si>
    <t>4. Vernieuwde oversterfteparameters obv 2022/2023</t>
  </si>
  <si>
    <t xml:space="preserve"> </t>
  </si>
  <si>
    <t>Absolute verandering t.o.v. vorige stap</t>
  </si>
  <si>
    <t>Relatieve verandering t.o.v. vorige stap</t>
  </si>
  <si>
    <t>Absolute verandering t.o.v. AG2024</t>
  </si>
  <si>
    <t>Relatieve verandering t.o.v. AG2024</t>
  </si>
  <si>
    <t>Soort</t>
  </si>
  <si>
    <t>CW</t>
  </si>
  <si>
    <t>Absolute verandering tov vorige stap</t>
  </si>
  <si>
    <t>Relatieve verandering tov vorige stap</t>
  </si>
  <si>
    <t>Absolute verandering tov AG2024</t>
  </si>
  <si>
    <t>Relatieve verandering tov AG2024</t>
  </si>
  <si>
    <t>Stappen</t>
  </si>
  <si>
    <t>Startjaar = 2027</t>
  </si>
  <si>
    <t>Vaste rekenrente van 3%</t>
  </si>
  <si>
    <t>Pensioenleeftijd 65</t>
  </si>
  <si>
    <t>Pensioenleeftijd 68</t>
  </si>
  <si>
    <t>soort</t>
  </si>
  <si>
    <t>Leeftijdsverschil van 3</t>
  </si>
  <si>
    <t>De berekening zijn met de volgende assumpties gemaakt</t>
  </si>
  <si>
    <t>5. Kalibratieperiode 2022-2025</t>
  </si>
  <si>
    <t>0, AG2024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</si>
</sst>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€&quot;\ * #,##0.00_ ;_ &quot;€&quot;\ * \-#,##0.00_ ;_ &quot;€&quot;\ * &quot;-&quot;??_ ;_ @_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5">
    <xf numFmtId="0" fontId="0" fillId="0" borderId="0" xfId="0"/>
    <xf numFmtId="44" fontId="0" fillId="0" borderId="0" xfId="1" applyFont="1"/>
    <xf numFmtId="0" fontId="0" fillId="0" borderId="0" xfId="1" applyNumberFormat="1" applyFont="1"/>
    <xf numFmtId="2" fontId="0" fillId="0" borderId="0" xfId="1" applyNumberFormat="1" applyFont="1"/>
    <xf numFmtId="9" fontId="0" fillId="0" borderId="0" xfId="2" applyFont="1"/>
    <xf numFmtId="0" fontId="2" fillId="0" borderId="0" xfId="1" applyNumberFormat="1" applyFont="1"/>
    <xf numFmtId="2" fontId="0" fillId="0" borderId="1" xfId="1" applyNumberFormat="1" applyFont="1" applyBorder="1"/>
    <xf numFmtId="2" fontId="0" fillId="0" borderId="1" xfId="2" applyNumberFormat="1" applyFont="1" applyBorder="1"/>
    <xf numFmtId="2" fontId="0" fillId="0" borderId="1" xfId="2" applyNumberFormat="1" applyFont="1" applyFill="1" applyBorder="1"/>
    <xf numFmtId="10" fontId="0" fillId="0" borderId="0" xfId="2" applyNumberFormat="1" applyFont="1"/>
    <xf numFmtId="44" fontId="0" fillId="0" borderId="0" xfId="0" applyNumberFormat="1"/>
    <xf numFmtId="44" fontId="0" fillId="0" borderId="2" xfId="1" applyFont="1" applyBorder="1"/>
    <xf numFmtId="0" fontId="0" fillId="0" borderId="2" xfId="0" applyBorder="1"/>
    <xf numFmtId="0" fontId="3" fillId="0" borderId="0" xfId="1" applyNumberFormat="1" applyFont="1"/>
    <xf numFmtId="2" fontId="3" fillId="0" borderId="1" xfId="0" applyNumberFormat="1" applyFont="1" applyBorder="1"/>
    <xf numFmtId="2" fontId="3" fillId="0" borderId="0" xfId="1" applyNumberFormat="1" applyFont="1"/>
    <xf numFmtId="44" fontId="3" fillId="0" borderId="0" xfId="1" applyFont="1"/>
    <xf numFmtId="44" fontId="3" fillId="0" borderId="0" xfId="1" applyFont="1" applyFill="1"/>
    <xf numFmtId="0" fontId="3" fillId="0" borderId="0" xfId="1" applyNumberFormat="1" applyFont="1" applyFill="1"/>
    <xf numFmtId="0" fontId="3" fillId="0" borderId="0" xfId="0" applyFont="1"/>
    <xf numFmtId="2" fontId="3" fillId="0" borderId="0" xfId="1" applyNumberFormat="1" applyFont="1" applyFill="1"/>
    <xf numFmtId="44" fontId="0" fillId="0" borderId="0" xfId="1" applyFont="1" applyFill="1"/>
    <xf numFmtId="10" fontId="0" fillId="0" borderId="1" xfId="2" applyNumberFormat="1" applyFont="1" applyBorder="1"/>
    <xf numFmtId="10" fontId="0" fillId="0" borderId="0" xfId="1" applyNumberFormat="1" applyFont="1"/>
    <xf numFmtId="10" fontId="0" fillId="0" borderId="1" xfId="2" applyNumberFormat="1" applyFont="1" applyFill="1" applyBorder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64A91-DCB4-449D-8B40-1E74F7D354BC}">
  <dimension ref="A1:AJ68"/>
  <sheetViews>
    <sheetView tabSelected="1" topLeftCell="K56" workbookViewId="0">
      <selection activeCell="W65" sqref="W65"/>
    </sheetView>
  </sheetViews>
  <sheetFormatPr defaultColWidth="9.140625" defaultRowHeight="15" x14ac:dyDescent="0.25"/>
  <cols>
    <col min="1" max="1" width="26.7109375" style="2" customWidth="1"/>
    <col min="2" max="3" width="5.7109375" style="1" customWidth="1"/>
    <col min="4" max="7" width="5.7109375" style="17" customWidth="1"/>
    <col min="8" max="8" width="5.42578125" style="1" customWidth="1"/>
    <col min="9" max="14" width="5.7109375" style="1" customWidth="1"/>
    <col min="15" max="15" width="5.85546875" style="1" customWidth="1"/>
    <col min="16" max="16" width="5.7109375" style="4" customWidth="1"/>
    <col min="17" max="18" width="7.7109375" style="4" customWidth="1"/>
    <col min="19" max="19" width="7.140625" style="4" customWidth="1"/>
    <col min="20" max="20" width="7.28515625" style="1" customWidth="1"/>
    <col min="21" max="21" width="8.140625" style="1" customWidth="1"/>
    <col min="22" max="22" width="8.5703125" style="1" customWidth="1"/>
    <col min="23" max="28" width="5.7109375" style="1" customWidth="1"/>
    <col min="29" max="29" width="6.5703125" style="1" customWidth="1"/>
    <col min="30" max="30" width="5.7109375" style="1" customWidth="1"/>
    <col min="31" max="31" width="7.7109375" style="1" customWidth="1"/>
    <col min="32" max="32" width="7.28515625" style="1" customWidth="1"/>
    <col min="33" max="34" width="7.42578125" style="1" customWidth="1"/>
    <col min="35" max="35" width="7.5703125" style="1" customWidth="1"/>
    <col min="36" max="16384" width="9.140625" style="1"/>
  </cols>
  <sheetData>
    <row r="1" spans="1:36" x14ac:dyDescent="0.25">
      <c r="A1" s="2" t="s">
        <v>58</v>
      </c>
    </row>
    <row r="2" spans="1:36" x14ac:dyDescent="0.25">
      <c r="A2" s="1" t="s">
        <v>52</v>
      </c>
    </row>
    <row r="3" spans="1:36" x14ac:dyDescent="0.25">
      <c r="A3" s="1" t="s">
        <v>53</v>
      </c>
    </row>
    <row r="4" spans="1:36" x14ac:dyDescent="0.25">
      <c r="A4" s="1" t="s">
        <v>54</v>
      </c>
    </row>
    <row r="5" spans="1:36" x14ac:dyDescent="0.25">
      <c r="A5" s="1" t="s">
        <v>57</v>
      </c>
    </row>
    <row r="6" spans="1:36" x14ac:dyDescent="0.25">
      <c r="B6" s="1" t="s">
        <v>51</v>
      </c>
    </row>
    <row r="7" spans="1:36" x14ac:dyDescent="0.25">
      <c r="B7" s="2" t="s">
        <v>35</v>
      </c>
      <c r="C7" s="2" t="s">
        <v>36</v>
      </c>
      <c r="D7" s="18" t="s">
        <v>37</v>
      </c>
      <c r="E7" s="18" t="s">
        <v>38</v>
      </c>
      <c r="F7" s="18" t="s">
        <v>39</v>
      </c>
      <c r="G7" s="18" t="s">
        <v>59</v>
      </c>
    </row>
    <row r="8" spans="1:36" x14ac:dyDescent="0.25">
      <c r="A8" s="5" t="s">
        <v>21</v>
      </c>
      <c r="B8"/>
      <c r="C8"/>
      <c r="D8" s="19"/>
      <c r="E8" s="19"/>
      <c r="F8" s="19"/>
      <c r="G8" s="19"/>
    </row>
    <row r="9" spans="1:36" x14ac:dyDescent="0.25">
      <c r="A9" s="2" t="s">
        <v>2</v>
      </c>
      <c r="I9" s="1" t="s">
        <v>41</v>
      </c>
      <c r="P9" s="4" t="s">
        <v>42</v>
      </c>
      <c r="W9" s="1" t="s">
        <v>43</v>
      </c>
      <c r="AD9" s="1" t="s">
        <v>44</v>
      </c>
    </row>
    <row r="10" spans="1:36" x14ac:dyDescent="0.25">
      <c r="A10" s="2" t="s">
        <v>20</v>
      </c>
      <c r="B10" s="2" t="str" cm="1">
        <f t="array" ref="B10:G10">B7:G7</f>
        <v>0. AG2024</v>
      </c>
      <c r="C10" s="13" t="str">
        <v>1. AG2024 PreCovid</v>
      </c>
      <c r="D10" s="18" t="str">
        <v>2. Update PreCovid HMD-sterftedate</v>
      </c>
      <c r="E10" s="18" t="str">
        <v>3. Modelwijziging startpunt prognose</v>
      </c>
      <c r="F10" s="18" t="str">
        <v>4. Vernieuwde oversterfteparameters obv 2022/2023</v>
      </c>
      <c r="G10" s="18" t="str">
        <v>5. Kalibratieperiode 2022-2025</v>
      </c>
      <c r="H10" s="1" t="s">
        <v>40</v>
      </c>
      <c r="I10" s="1" t="str" cm="1">
        <f t="array" ref="I10:N10">_xlfn.ANCHORARRAY(B10)</f>
        <v>0. AG2024</v>
      </c>
      <c r="J10" s="1" t="str">
        <v>1. AG2024 PreCovid</v>
      </c>
      <c r="K10" s="1" t="str">
        <v>2. Update PreCovid HMD-sterftedate</v>
      </c>
      <c r="L10" s="1" t="str">
        <v>3. Modelwijziging startpunt prognose</v>
      </c>
      <c r="M10" s="1" t="str">
        <v>4. Vernieuwde oversterfteparameters obv 2022/2023</v>
      </c>
      <c r="N10" s="1" t="str">
        <v>5. Kalibratieperiode 2022-2025</v>
      </c>
      <c r="O10" s="1" t="s">
        <v>40</v>
      </c>
      <c r="P10" s="4" t="str" cm="1">
        <f t="array" ref="P10:U10">_xlfn.ANCHORARRAY(B10)</f>
        <v>0. AG2024</v>
      </c>
      <c r="Q10" s="4" t="str">
        <v>1. AG2024 PreCovid</v>
      </c>
      <c r="R10" s="4" t="str">
        <v>2. Update PreCovid HMD-sterftedate</v>
      </c>
      <c r="S10" s="4" t="str">
        <v>3. Modelwijziging startpunt prognose</v>
      </c>
      <c r="T10" s="1" t="str">
        <v>4. Vernieuwde oversterfteparameters obv 2022/2023</v>
      </c>
      <c r="U10" s="1" t="str">
        <v>5. Kalibratieperiode 2022-2025</v>
      </c>
      <c r="V10" s="1" t="s">
        <v>40</v>
      </c>
      <c r="W10" s="1" t="str" cm="1">
        <f t="array" ref="W10:AB10">_xlfn.ANCHORARRAY($B$10)</f>
        <v>0. AG2024</v>
      </c>
      <c r="X10" s="1" t="str">
        <v>1. AG2024 PreCovid</v>
      </c>
      <c r="Y10" s="1" t="str">
        <v>2. Update PreCovid HMD-sterftedate</v>
      </c>
      <c r="Z10" s="1" t="str">
        <v>3. Modelwijziging startpunt prognose</v>
      </c>
      <c r="AA10" s="1" t="str">
        <v>4. Vernieuwde oversterfteparameters obv 2022/2023</v>
      </c>
      <c r="AB10" s="1" t="str">
        <v>5. Kalibratieperiode 2022-2025</v>
      </c>
      <c r="AC10" s="1" t="s">
        <v>40</v>
      </c>
      <c r="AD10" s="1" t="str" cm="1">
        <f t="array" ref="AD10:AI10">_xlfn.ANCHORARRAY($B$10)</f>
        <v>0. AG2024</v>
      </c>
      <c r="AE10" s="1" t="str">
        <v>1. AG2024 PreCovid</v>
      </c>
      <c r="AF10" s="1" t="str">
        <v>2. Update PreCovid HMD-sterftedate</v>
      </c>
      <c r="AG10" s="1" t="str">
        <v>3. Modelwijziging startpunt prognose</v>
      </c>
      <c r="AH10" s="1" t="str">
        <v>4. Vernieuwde oversterfteparameters obv 2022/2023</v>
      </c>
      <c r="AI10" s="1" t="str">
        <v>5. Kalibratieperiode 2022-2025</v>
      </c>
      <c r="AJ10" s="1" t="s">
        <v>40</v>
      </c>
    </row>
    <row r="11" spans="1:36" x14ac:dyDescent="0.25">
      <c r="A11" s="2">
        <v>30</v>
      </c>
      <c r="B11" s="6">
        <v>5.6769576527715397</v>
      </c>
      <c r="C11" s="14">
        <v>5.67695793298856</v>
      </c>
      <c r="D11" s="14">
        <v>5.6600981338904104</v>
      </c>
      <c r="E11" s="14">
        <v>5.6602118582781298</v>
      </c>
      <c r="F11" s="14">
        <v>5.6602111542856299</v>
      </c>
      <c r="G11" s="14">
        <v>5.6602108835023497</v>
      </c>
      <c r="H11" s="1" t="s">
        <v>40</v>
      </c>
      <c r="J11" s="7">
        <f t="shared" ref="J11:N17" si="0">C11-B11</f>
        <v>2.8021702025426976E-7</v>
      </c>
      <c r="K11" s="7">
        <f t="shared" si="0"/>
        <v>-1.6859799098149608E-2</v>
      </c>
      <c r="L11" s="7">
        <f t="shared" si="0"/>
        <v>1.1372438771939386E-4</v>
      </c>
      <c r="M11" s="7">
        <f t="shared" si="0"/>
        <v>-7.0399249985086954E-7</v>
      </c>
      <c r="N11" s="7">
        <f t="shared" si="0"/>
        <v>-2.7078328024288112E-7</v>
      </c>
      <c r="O11" s="1" t="s">
        <v>40</v>
      </c>
      <c r="Q11" s="22">
        <f t="shared" ref="Q11:U17" si="1">J11/B11</f>
        <v>4.9360421090593375E-8</v>
      </c>
      <c r="R11" s="22">
        <f t="shared" si="1"/>
        <v>-2.9698650751273027E-3</v>
      </c>
      <c r="S11" s="22">
        <f t="shared" si="1"/>
        <v>2.0092299643791967E-5</v>
      </c>
      <c r="T11" s="22">
        <f t="shared" si="1"/>
        <v>-1.2437564484821745E-7</v>
      </c>
      <c r="U11" s="22">
        <f t="shared" si="1"/>
        <v>-4.783978421685868E-8</v>
      </c>
      <c r="V11" s="1" t="s">
        <v>40</v>
      </c>
      <c r="X11" s="6">
        <f t="shared" ref="X11:AB17" si="2">C11-$B11</f>
        <v>2.8021702025426976E-7</v>
      </c>
      <c r="Y11" s="6">
        <f t="shared" si="2"/>
        <v>-1.6859518881129354E-2</v>
      </c>
      <c r="Z11" s="6">
        <f t="shared" si="2"/>
        <v>-1.674579449340996E-2</v>
      </c>
      <c r="AA11" s="6">
        <f t="shared" si="2"/>
        <v>-1.6746498485909811E-2</v>
      </c>
      <c r="AB11" s="6">
        <f t="shared" si="2"/>
        <v>-1.6746769269190054E-2</v>
      </c>
      <c r="AC11" s="1" t="s">
        <v>40</v>
      </c>
      <c r="AE11" s="24">
        <f>X11/$B11</f>
        <v>4.9360421090593375E-8</v>
      </c>
      <c r="AF11" s="24">
        <f t="shared" ref="AF11:AI17" si="3">Y11/$B11</f>
        <v>-2.9698158613000029E-3</v>
      </c>
      <c r="AG11" s="24">
        <f t="shared" si="3"/>
        <v>-2.9497832320863832E-3</v>
      </c>
      <c r="AH11" s="24">
        <f t="shared" si="3"/>
        <v>-2.9499072408500399E-3</v>
      </c>
      <c r="AI11" s="24">
        <f t="shared" si="3"/>
        <v>-2.9499549395113306E-3</v>
      </c>
      <c r="AJ11" s="1" t="s">
        <v>40</v>
      </c>
    </row>
    <row r="12" spans="1:36" x14ac:dyDescent="0.25">
      <c r="A12" s="2">
        <v>40</v>
      </c>
      <c r="B12" s="6">
        <v>7.3569587874323803</v>
      </c>
      <c r="C12" s="14">
        <v>7.35696656956548</v>
      </c>
      <c r="D12" s="14">
        <v>7.3363080693033096</v>
      </c>
      <c r="E12" s="14">
        <v>7.3379070329785696</v>
      </c>
      <c r="F12" s="14">
        <v>7.3378875248612401</v>
      </c>
      <c r="G12" s="14">
        <v>7.3378800420973</v>
      </c>
      <c r="H12" s="1" t="s">
        <v>40</v>
      </c>
      <c r="J12" s="7">
        <f t="shared" si="0"/>
        <v>7.7821330997096538E-6</v>
      </c>
      <c r="K12" s="7">
        <f t="shared" si="0"/>
        <v>-2.0658500262170421E-2</v>
      </c>
      <c r="L12" s="7">
        <f t="shared" si="0"/>
        <v>1.5989636752600234E-3</v>
      </c>
      <c r="M12" s="7">
        <f t="shared" si="0"/>
        <v>-1.950811732953639E-5</v>
      </c>
      <c r="N12" s="7">
        <f t="shared" si="0"/>
        <v>-7.4827639400254498E-6</v>
      </c>
      <c r="O12" s="1" t="s">
        <v>40</v>
      </c>
      <c r="Q12" s="22">
        <f t="shared" si="1"/>
        <v>1.0577921291340633E-6</v>
      </c>
      <c r="R12" s="22">
        <f t="shared" si="1"/>
        <v>-2.8080187760579373E-3</v>
      </c>
      <c r="S12" s="22">
        <f t="shared" si="1"/>
        <v>2.1795208981891467E-4</v>
      </c>
      <c r="T12" s="22">
        <f t="shared" si="1"/>
        <v>-2.6585397228203564E-6</v>
      </c>
      <c r="U12" s="22">
        <f t="shared" si="1"/>
        <v>-1.0197436134954862E-6</v>
      </c>
      <c r="V12" s="1" t="s">
        <v>40</v>
      </c>
      <c r="X12" s="6">
        <f t="shared" si="2"/>
        <v>7.7821330997096538E-6</v>
      </c>
      <c r="Y12" s="6">
        <f t="shared" si="2"/>
        <v>-2.0650718129070711E-2</v>
      </c>
      <c r="Z12" s="6">
        <f t="shared" si="2"/>
        <v>-1.9051754453810688E-2</v>
      </c>
      <c r="AA12" s="6">
        <f t="shared" si="2"/>
        <v>-1.9071262571140224E-2</v>
      </c>
      <c r="AB12" s="6">
        <f t="shared" si="2"/>
        <v>-1.9078745335080249E-2</v>
      </c>
      <c r="AC12" s="1" t="s">
        <v>40</v>
      </c>
      <c r="AE12" s="24">
        <f t="shared" ref="AE12:AE68" si="4">X12/$B12</f>
        <v>1.0577921291340633E-6</v>
      </c>
      <c r="AF12" s="24">
        <f t="shared" si="3"/>
        <v>-2.8069639542289628E-3</v>
      </c>
      <c r="AG12" s="24">
        <f t="shared" si="3"/>
        <v>-2.589623648069919E-3</v>
      </c>
      <c r="AH12" s="24">
        <f t="shared" si="3"/>
        <v>-2.5922753031754038E-3</v>
      </c>
      <c r="AI12" s="24">
        <f t="shared" si="3"/>
        <v>-2.5932924033327145E-3</v>
      </c>
      <c r="AJ12" s="1" t="s">
        <v>40</v>
      </c>
    </row>
    <row r="13" spans="1:36" x14ac:dyDescent="0.25">
      <c r="A13" s="2">
        <v>50</v>
      </c>
      <c r="B13" s="6">
        <v>9.5588255748963</v>
      </c>
      <c r="C13" s="14">
        <v>9.5590425636802507</v>
      </c>
      <c r="D13" s="14">
        <v>9.5347306153164197</v>
      </c>
      <c r="E13" s="14">
        <v>9.5456926744640604</v>
      </c>
      <c r="F13" s="14">
        <v>9.5451583240874402</v>
      </c>
      <c r="G13" s="14">
        <v>9.5449539741123708</v>
      </c>
      <c r="H13" s="1" t="s">
        <v>40</v>
      </c>
      <c r="J13" s="7">
        <f t="shared" si="0"/>
        <v>2.1698878395071119E-4</v>
      </c>
      <c r="K13" s="7">
        <f t="shared" si="0"/>
        <v>-2.4311948363830993E-2</v>
      </c>
      <c r="L13" s="7">
        <f t="shared" si="0"/>
        <v>1.0962059147640701E-2</v>
      </c>
      <c r="M13" s="7">
        <f t="shared" si="0"/>
        <v>-5.3435037662019624E-4</v>
      </c>
      <c r="N13" s="7">
        <f t="shared" si="0"/>
        <v>-2.0434997506946218E-4</v>
      </c>
      <c r="O13" s="1" t="s">
        <v>40</v>
      </c>
      <c r="Q13" s="22">
        <f t="shared" si="1"/>
        <v>2.2700360232597427E-5</v>
      </c>
      <c r="R13" s="22">
        <f t="shared" si="1"/>
        <v>-2.5433455497106652E-3</v>
      </c>
      <c r="S13" s="22">
        <f t="shared" si="1"/>
        <v>1.1496978351996066E-3</v>
      </c>
      <c r="T13" s="22">
        <f t="shared" si="1"/>
        <v>-5.5978166786120334E-5</v>
      </c>
      <c r="U13" s="22">
        <f t="shared" si="1"/>
        <v>-2.1408756998171527E-5</v>
      </c>
      <c r="V13" s="1" t="s">
        <v>40</v>
      </c>
      <c r="X13" s="6">
        <f t="shared" si="2"/>
        <v>2.1698878395071119E-4</v>
      </c>
      <c r="Y13" s="6">
        <f t="shared" si="2"/>
        <v>-2.4094959579880282E-2</v>
      </c>
      <c r="Z13" s="6">
        <f t="shared" si="2"/>
        <v>-1.313290043223958E-2</v>
      </c>
      <c r="AA13" s="6">
        <f t="shared" si="2"/>
        <v>-1.3667250808859777E-2</v>
      </c>
      <c r="AB13" s="6">
        <f t="shared" si="2"/>
        <v>-1.3871600783929239E-2</v>
      </c>
      <c r="AC13" s="1" t="s">
        <v>40</v>
      </c>
      <c r="AE13" s="24">
        <f t="shared" si="4"/>
        <v>2.2700360232597427E-5</v>
      </c>
      <c r="AF13" s="24">
        <f t="shared" si="3"/>
        <v>-2.5207029243382419E-3</v>
      </c>
      <c r="AG13" s="24">
        <f t="shared" si="3"/>
        <v>-1.3739031358339284E-3</v>
      </c>
      <c r="AH13" s="24">
        <f t="shared" si="3"/>
        <v>-1.429804394041163E-3</v>
      </c>
      <c r="AI13" s="24">
        <f t="shared" si="3"/>
        <v>-1.4511825407045077E-3</v>
      </c>
      <c r="AJ13" s="1" t="s">
        <v>40</v>
      </c>
    </row>
    <row r="14" spans="1:36" x14ac:dyDescent="0.25">
      <c r="A14" s="2">
        <v>60</v>
      </c>
      <c r="B14" s="6">
        <v>12.6817831153943</v>
      </c>
      <c r="C14" s="14">
        <v>12.684592672677899</v>
      </c>
      <c r="D14" s="14">
        <v>12.659097862750899</v>
      </c>
      <c r="E14" s="14">
        <v>12.683397557839401</v>
      </c>
      <c r="F14" s="14">
        <v>12.678366243583801</v>
      </c>
      <c r="G14" s="14">
        <v>12.67761011108</v>
      </c>
      <c r="H14" s="1" t="s">
        <v>40</v>
      </c>
      <c r="J14" s="7">
        <f t="shared" si="0"/>
        <v>2.8095572835997729E-3</v>
      </c>
      <c r="K14" s="7">
        <f t="shared" si="0"/>
        <v>-2.5494809927000261E-2</v>
      </c>
      <c r="L14" s="7">
        <f t="shared" si="0"/>
        <v>2.4299695088501494E-2</v>
      </c>
      <c r="M14" s="7">
        <f t="shared" si="0"/>
        <v>-5.0313142555999946E-3</v>
      </c>
      <c r="N14" s="7">
        <f t="shared" si="0"/>
        <v>-7.5613250380079933E-4</v>
      </c>
      <c r="O14" s="1" t="s">
        <v>40</v>
      </c>
      <c r="Q14" s="22">
        <f t="shared" si="1"/>
        <v>2.2154276398161053E-4</v>
      </c>
      <c r="R14" s="22">
        <f t="shared" si="1"/>
        <v>-2.0099037142844211E-3</v>
      </c>
      <c r="S14" s="22">
        <f t="shared" si="1"/>
        <v>1.9195439795123776E-3</v>
      </c>
      <c r="T14" s="22">
        <f t="shared" si="1"/>
        <v>-3.9668505482509469E-4</v>
      </c>
      <c r="U14" s="22">
        <f t="shared" si="1"/>
        <v>-5.9639585201560085E-5</v>
      </c>
      <c r="V14" s="1" t="s">
        <v>40</v>
      </c>
      <c r="X14" s="6">
        <f t="shared" si="2"/>
        <v>2.8095572835997729E-3</v>
      </c>
      <c r="Y14" s="6">
        <f t="shared" si="2"/>
        <v>-2.2685252643400489E-2</v>
      </c>
      <c r="Z14" s="6">
        <f t="shared" si="2"/>
        <v>1.6144424451010053E-3</v>
      </c>
      <c r="AA14" s="6">
        <f t="shared" si="2"/>
        <v>-3.4168718104989892E-3</v>
      </c>
      <c r="AB14" s="6">
        <f t="shared" si="2"/>
        <v>-4.1730043142997886E-3</v>
      </c>
      <c r="AC14" s="1" t="s">
        <v>40</v>
      </c>
      <c r="AE14" s="24">
        <f t="shared" si="4"/>
        <v>2.2154276398161053E-4</v>
      </c>
      <c r="AF14" s="24">
        <f t="shared" si="3"/>
        <v>-1.7888062299270099E-3</v>
      </c>
      <c r="AG14" s="24">
        <f t="shared" si="3"/>
        <v>1.273040573561969E-4</v>
      </c>
      <c r="AH14" s="24">
        <f t="shared" si="3"/>
        <v>-2.6943149708586958E-4</v>
      </c>
      <c r="AI14" s="24">
        <f t="shared" si="3"/>
        <v>-3.2905501350470324E-4</v>
      </c>
      <c r="AJ14" s="1" t="s">
        <v>40</v>
      </c>
    </row>
    <row r="15" spans="1:36" x14ac:dyDescent="0.25">
      <c r="A15" s="2">
        <v>70</v>
      </c>
      <c r="B15" s="6">
        <v>12.4323287255712</v>
      </c>
      <c r="C15" s="14">
        <v>12.4428192851266</v>
      </c>
      <c r="D15" s="14">
        <v>12.4234590333031</v>
      </c>
      <c r="E15" s="14">
        <v>12.460909327194701</v>
      </c>
      <c r="F15" s="14">
        <v>12.445255769382699</v>
      </c>
      <c r="G15" s="14">
        <v>12.440204963923501</v>
      </c>
      <c r="H15" s="1" t="s">
        <v>40</v>
      </c>
      <c r="J15" s="7">
        <f t="shared" si="0"/>
        <v>1.0490559555400125E-2</v>
      </c>
      <c r="K15" s="7">
        <f t="shared" si="0"/>
        <v>-1.9360251823499652E-2</v>
      </c>
      <c r="L15" s="7">
        <f t="shared" si="0"/>
        <v>3.7450293891600595E-2</v>
      </c>
      <c r="M15" s="7">
        <f t="shared" si="0"/>
        <v>-1.5653557812001395E-2</v>
      </c>
      <c r="N15" s="7">
        <f t="shared" si="0"/>
        <v>-5.0508054591986706E-3</v>
      </c>
      <c r="O15" s="1" t="s">
        <v>40</v>
      </c>
      <c r="Q15" s="22">
        <f t="shared" si="1"/>
        <v>8.4381291606477687E-4</v>
      </c>
      <c r="R15" s="22">
        <f t="shared" si="1"/>
        <v>-1.5559377163535386E-3</v>
      </c>
      <c r="S15" s="22">
        <f t="shared" si="1"/>
        <v>3.0144820207648288E-3</v>
      </c>
      <c r="T15" s="22">
        <f t="shared" si="1"/>
        <v>-1.2562131222509626E-3</v>
      </c>
      <c r="U15" s="22">
        <f t="shared" si="1"/>
        <v>-4.0584183666393198E-4</v>
      </c>
      <c r="V15" s="1" t="s">
        <v>40</v>
      </c>
      <c r="X15" s="6">
        <f t="shared" si="2"/>
        <v>1.0490559555400125E-2</v>
      </c>
      <c r="Y15" s="6">
        <f t="shared" si="2"/>
        <v>-8.8696922680995272E-3</v>
      </c>
      <c r="Z15" s="6">
        <f t="shared" si="2"/>
        <v>2.8580601623501067E-2</v>
      </c>
      <c r="AA15" s="6">
        <f t="shared" si="2"/>
        <v>1.2927043811499672E-2</v>
      </c>
      <c r="AB15" s="6">
        <f t="shared" si="2"/>
        <v>7.8762383523010016E-3</v>
      </c>
      <c r="AC15" s="1" t="s">
        <v>40</v>
      </c>
      <c r="AE15" s="24">
        <f t="shared" si="4"/>
        <v>8.4381291606477687E-4</v>
      </c>
      <c r="AF15" s="24">
        <f t="shared" si="3"/>
        <v>-7.1343772063041323E-4</v>
      </c>
      <c r="AG15" s="24">
        <f t="shared" si="3"/>
        <v>2.2988936549526396E-3</v>
      </c>
      <c r="AH15" s="24">
        <f t="shared" si="3"/>
        <v>1.0397926323256661E-3</v>
      </c>
      <c r="AI15" s="24">
        <f t="shared" si="3"/>
        <v>6.3352880431008149E-4</v>
      </c>
      <c r="AJ15" s="1" t="s">
        <v>40</v>
      </c>
    </row>
    <row r="16" spans="1:36" x14ac:dyDescent="0.25">
      <c r="A16" s="2">
        <v>80</v>
      </c>
      <c r="B16" s="6">
        <v>7.4794286446513096</v>
      </c>
      <c r="C16" s="14">
        <v>7.4947144776339902</v>
      </c>
      <c r="D16" s="14">
        <v>7.4837497565269802</v>
      </c>
      <c r="E16" s="14">
        <v>7.4589505604840198</v>
      </c>
      <c r="F16" s="14">
        <v>7.4428020094890401</v>
      </c>
      <c r="G16" s="14">
        <v>7.4398543432498299</v>
      </c>
      <c r="H16" s="1" t="s">
        <v>40</v>
      </c>
      <c r="J16" s="7">
        <f t="shared" si="0"/>
        <v>1.5285832982680603E-2</v>
      </c>
      <c r="K16" s="7">
        <f t="shared" si="0"/>
        <v>-1.0964721107010078E-2</v>
      </c>
      <c r="L16" s="7">
        <f t="shared" si="0"/>
        <v>-2.4799196042960325E-2</v>
      </c>
      <c r="M16" s="7">
        <f t="shared" si="0"/>
        <v>-1.6148550994979693E-2</v>
      </c>
      <c r="N16" s="7">
        <f t="shared" si="0"/>
        <v>-2.9476662392102781E-3</v>
      </c>
      <c r="O16" s="1" t="s">
        <v>40</v>
      </c>
      <c r="Q16" s="22">
        <f t="shared" si="1"/>
        <v>2.0437166672633224E-3</v>
      </c>
      <c r="R16" s="22">
        <f t="shared" si="1"/>
        <v>-1.4629938391557693E-3</v>
      </c>
      <c r="S16" s="22">
        <f t="shared" si="1"/>
        <v>-3.3137393485574013E-3</v>
      </c>
      <c r="T16" s="22">
        <f t="shared" si="1"/>
        <v>-2.1649896810593413E-3</v>
      </c>
      <c r="U16" s="22">
        <f t="shared" si="1"/>
        <v>-3.960425435813306E-4</v>
      </c>
      <c r="V16" s="1" t="s">
        <v>40</v>
      </c>
      <c r="X16" s="6">
        <f t="shared" si="2"/>
        <v>1.5285832982680603E-2</v>
      </c>
      <c r="Y16" s="6">
        <f t="shared" si="2"/>
        <v>4.3211118756705247E-3</v>
      </c>
      <c r="Z16" s="6">
        <f t="shared" si="2"/>
        <v>-2.0478084167289801E-2</v>
      </c>
      <c r="AA16" s="6">
        <f t="shared" si="2"/>
        <v>-3.6626635162269494E-2</v>
      </c>
      <c r="AB16" s="6">
        <f t="shared" si="2"/>
        <v>-3.9574301401479772E-2</v>
      </c>
      <c r="AC16" s="1" t="s">
        <v>40</v>
      </c>
      <c r="AE16" s="24">
        <f t="shared" si="4"/>
        <v>2.0437166672633224E-3</v>
      </c>
      <c r="AF16" s="24">
        <f t="shared" si="3"/>
        <v>5.7773288321436673E-4</v>
      </c>
      <c r="AG16" s="24">
        <f t="shared" si="3"/>
        <v>-2.7379209215310975E-3</v>
      </c>
      <c r="AH16" s="24">
        <f t="shared" si="3"/>
        <v>-4.8969830320477678E-3</v>
      </c>
      <c r="AI16" s="24">
        <f t="shared" si="3"/>
        <v>-5.2910861620132114E-3</v>
      </c>
      <c r="AJ16" s="1" t="s">
        <v>40</v>
      </c>
    </row>
    <row r="17" spans="1:36" x14ac:dyDescent="0.25">
      <c r="A17" s="2">
        <v>90</v>
      </c>
      <c r="B17" s="6">
        <v>3.6942131326127199</v>
      </c>
      <c r="C17" s="14">
        <v>3.7432635802844998</v>
      </c>
      <c r="D17" s="14">
        <v>3.7399914007545001</v>
      </c>
      <c r="E17" s="14">
        <v>3.6502752185088401</v>
      </c>
      <c r="F17" s="14">
        <v>3.6075564541422001</v>
      </c>
      <c r="G17" s="14">
        <v>3.5932451371263099</v>
      </c>
      <c r="H17" s="1" t="s">
        <v>40</v>
      </c>
      <c r="J17" s="7">
        <f t="shared" si="0"/>
        <v>4.9050447671779906E-2</v>
      </c>
      <c r="K17" s="7">
        <f t="shared" si="0"/>
        <v>-3.272179529999697E-3</v>
      </c>
      <c r="L17" s="7">
        <f t="shared" si="0"/>
        <v>-8.9716182245660026E-2</v>
      </c>
      <c r="M17" s="7">
        <f t="shared" si="0"/>
        <v>-4.2718764366640016E-2</v>
      </c>
      <c r="N17" s="7">
        <f t="shared" si="0"/>
        <v>-1.4311317015890168E-2</v>
      </c>
      <c r="O17" s="1" t="s">
        <v>40</v>
      </c>
      <c r="Q17" s="22">
        <f t="shared" si="1"/>
        <v>1.3277644226522778E-2</v>
      </c>
      <c r="R17" s="22">
        <f t="shared" si="1"/>
        <v>-8.7415151506670043E-4</v>
      </c>
      <c r="S17" s="22">
        <f t="shared" si="1"/>
        <v>-2.3988339178416512E-2</v>
      </c>
      <c r="T17" s="22">
        <f t="shared" si="1"/>
        <v>-1.1702888634268759E-2</v>
      </c>
      <c r="U17" s="22">
        <f t="shared" si="1"/>
        <v>-3.9670389633010179E-3</v>
      </c>
      <c r="V17" s="1" t="s">
        <v>40</v>
      </c>
      <c r="X17" s="6">
        <f t="shared" si="2"/>
        <v>4.9050447671779906E-2</v>
      </c>
      <c r="Y17" s="6">
        <f t="shared" si="2"/>
        <v>4.577826814178021E-2</v>
      </c>
      <c r="Z17" s="6">
        <f t="shared" si="2"/>
        <v>-4.3937914103879816E-2</v>
      </c>
      <c r="AA17" s="6">
        <f t="shared" si="2"/>
        <v>-8.6656678470519832E-2</v>
      </c>
      <c r="AB17" s="6">
        <f t="shared" si="2"/>
        <v>-0.10096799548641</v>
      </c>
      <c r="AC17" s="1" t="s">
        <v>40</v>
      </c>
      <c r="AE17" s="24">
        <f t="shared" si="4"/>
        <v>1.3277644226522778E-2</v>
      </c>
      <c r="AF17" s="24">
        <f t="shared" si="3"/>
        <v>1.2391886038638946E-2</v>
      </c>
      <c r="AG17" s="24">
        <f t="shared" si="3"/>
        <v>-1.1893713905132721E-2</v>
      </c>
      <c r="AH17" s="24">
        <f t="shared" si="3"/>
        <v>-2.345741173012186E-2</v>
      </c>
      <c r="AI17" s="24">
        <f t="shared" si="3"/>
        <v>-2.733139422711129E-2</v>
      </c>
      <c r="AJ17" s="1" t="s">
        <v>40</v>
      </c>
    </row>
    <row r="18" spans="1:36" x14ac:dyDescent="0.25">
      <c r="B18" s="3"/>
      <c r="C18" s="15"/>
      <c r="D18" s="20"/>
      <c r="E18" s="20"/>
      <c r="F18" s="20"/>
      <c r="G18" s="20"/>
      <c r="H18" s="1" t="s">
        <v>40</v>
      </c>
      <c r="J18" s="3"/>
      <c r="K18" s="3"/>
      <c r="L18" s="3"/>
      <c r="M18" s="3"/>
      <c r="N18" s="3"/>
      <c r="O18" s="1" t="s">
        <v>40</v>
      </c>
      <c r="Q18" s="9"/>
      <c r="R18" s="9"/>
      <c r="S18" s="9"/>
      <c r="T18" s="23"/>
      <c r="U18" s="23"/>
      <c r="V18" s="1" t="s">
        <v>40</v>
      </c>
      <c r="X18" s="3"/>
      <c r="Y18" s="3"/>
      <c r="Z18" s="3"/>
      <c r="AA18" s="3"/>
      <c r="AB18" s="3"/>
      <c r="AC18" s="1" t="s">
        <v>40</v>
      </c>
      <c r="AE18" s="9"/>
      <c r="AF18" s="9"/>
      <c r="AG18" s="9"/>
      <c r="AH18" s="9"/>
      <c r="AI18" s="9"/>
      <c r="AJ18" s="1" t="s">
        <v>40</v>
      </c>
    </row>
    <row r="19" spans="1:36" x14ac:dyDescent="0.25">
      <c r="A19" s="1" t="s">
        <v>3</v>
      </c>
      <c r="B19" s="3"/>
      <c r="C19" s="15"/>
      <c r="D19" s="20"/>
      <c r="E19" s="20"/>
      <c r="F19" s="20"/>
      <c r="G19" s="20"/>
      <c r="H19" s="1" t="s">
        <v>40</v>
      </c>
      <c r="J19" s="3"/>
      <c r="K19" s="3"/>
      <c r="L19" s="3"/>
      <c r="M19" s="3"/>
      <c r="N19" s="3"/>
      <c r="O19" s="1" t="s">
        <v>40</v>
      </c>
      <c r="Q19" s="9"/>
      <c r="R19" s="9"/>
      <c r="S19" s="9"/>
      <c r="T19" s="23"/>
      <c r="U19" s="23"/>
      <c r="V19" s="1" t="s">
        <v>40</v>
      </c>
      <c r="X19" s="3"/>
      <c r="Y19" s="3"/>
      <c r="Z19" s="3"/>
      <c r="AA19" s="3"/>
      <c r="AB19" s="3"/>
      <c r="AC19" s="1" t="s">
        <v>40</v>
      </c>
      <c r="AE19" s="9"/>
      <c r="AF19" s="9"/>
      <c r="AG19" s="9"/>
      <c r="AH19" s="9"/>
      <c r="AI19" s="9"/>
      <c r="AJ19" s="1" t="s">
        <v>40</v>
      </c>
    </row>
    <row r="20" spans="1:36" x14ac:dyDescent="0.25">
      <c r="A20" s="2" t="s">
        <v>20</v>
      </c>
      <c r="B20" s="3" t="str" cm="1">
        <f t="array" ref="B20:G20">_xlfn.ANCHORARRAY(B10)</f>
        <v>0. AG2024</v>
      </c>
      <c r="C20" s="15" t="str">
        <v>1. AG2024 PreCovid</v>
      </c>
      <c r="D20" s="20" t="str">
        <v>2. Update PreCovid HMD-sterftedate</v>
      </c>
      <c r="E20" s="20" t="str">
        <v>3. Modelwijziging startpunt prognose</v>
      </c>
      <c r="F20" s="20" t="str">
        <v>4. Vernieuwde oversterfteparameters obv 2022/2023</v>
      </c>
      <c r="G20" s="20" t="str">
        <v>5. Kalibratieperiode 2022-2025</v>
      </c>
      <c r="H20" s="1" t="s">
        <v>40</v>
      </c>
      <c r="I20" s="1" t="str" cm="1">
        <f t="array" ref="I20:N20">_xlfn.ANCHORARRAY(B10)</f>
        <v>0. AG2024</v>
      </c>
      <c r="J20" s="3" t="str">
        <v>1. AG2024 PreCovid</v>
      </c>
      <c r="K20" s="3" t="str">
        <v>2. Update PreCovid HMD-sterftedate</v>
      </c>
      <c r="L20" s="3" t="str">
        <v>3. Modelwijziging startpunt prognose</v>
      </c>
      <c r="M20" s="3" t="str">
        <v>4. Vernieuwde oversterfteparameters obv 2022/2023</v>
      </c>
      <c r="N20" s="3" t="str">
        <v>5. Kalibratieperiode 2022-2025</v>
      </c>
      <c r="O20" s="1" t="s">
        <v>40</v>
      </c>
      <c r="P20" s="4" t="str" cm="1">
        <f t="array" ref="P20:U20">_xlfn.ANCHORARRAY(B10)</f>
        <v>0. AG2024</v>
      </c>
      <c r="Q20" s="9" t="str">
        <v>1. AG2024 PreCovid</v>
      </c>
      <c r="R20" s="9" t="str">
        <v>2. Update PreCovid HMD-sterftedate</v>
      </c>
      <c r="S20" s="9" t="str">
        <v>3. Modelwijziging startpunt prognose</v>
      </c>
      <c r="T20" s="23" t="str">
        <v>4. Vernieuwde oversterfteparameters obv 2022/2023</v>
      </c>
      <c r="U20" s="23" t="str">
        <v>5. Kalibratieperiode 2022-2025</v>
      </c>
      <c r="V20" s="1" t="s">
        <v>40</v>
      </c>
      <c r="W20" s="1" t="str" cm="1">
        <f t="array" ref="W20:AB20">_xlfn.ANCHORARRAY($B$10)</f>
        <v>0. AG2024</v>
      </c>
      <c r="X20" s="3" t="str">
        <v>1. AG2024 PreCovid</v>
      </c>
      <c r="Y20" s="3" t="str">
        <v>2. Update PreCovid HMD-sterftedate</v>
      </c>
      <c r="Z20" s="3" t="str">
        <v>3. Modelwijziging startpunt prognose</v>
      </c>
      <c r="AA20" s="3" t="str">
        <v>4. Vernieuwde oversterfteparameters obv 2022/2023</v>
      </c>
      <c r="AB20" s="3" t="str">
        <v>5. Kalibratieperiode 2022-2025</v>
      </c>
      <c r="AC20" s="1" t="s">
        <v>40</v>
      </c>
      <c r="AD20" s="1" t="str" cm="1">
        <f t="array" ref="AD20:AI20">_xlfn.ANCHORARRAY($B$10)</f>
        <v>0. AG2024</v>
      </c>
      <c r="AE20" s="9" t="str">
        <v>1. AG2024 PreCovid</v>
      </c>
      <c r="AF20" s="9" t="str">
        <v>2. Update PreCovid HMD-sterftedate</v>
      </c>
      <c r="AG20" s="9" t="str">
        <v>3. Modelwijziging startpunt prognose</v>
      </c>
      <c r="AH20" s="9" t="str">
        <v>4. Vernieuwde oversterfteparameters obv 2022/2023</v>
      </c>
      <c r="AI20" s="9" t="str">
        <v>5. Kalibratieperiode 2022-2025</v>
      </c>
      <c r="AJ20" s="1" t="s">
        <v>40</v>
      </c>
    </row>
    <row r="21" spans="1:36" x14ac:dyDescent="0.25">
      <c r="A21" s="2">
        <v>30</v>
      </c>
      <c r="B21" s="6">
        <v>1.91854048450423</v>
      </c>
      <c r="C21" s="14">
        <v>1.91854014933947</v>
      </c>
      <c r="D21" s="14">
        <v>1.92338133010134</v>
      </c>
      <c r="E21" s="14">
        <v>1.92298716436705</v>
      </c>
      <c r="F21" s="14">
        <v>1.9229880791543199</v>
      </c>
      <c r="G21" s="14">
        <v>1.92298846240357</v>
      </c>
      <c r="H21" s="1" t="s">
        <v>40</v>
      </c>
      <c r="J21" s="7">
        <f t="shared" ref="J21:N27" si="5">C21-B21</f>
        <v>-3.3516475994588291E-7</v>
      </c>
      <c r="K21" s="7">
        <f t="shared" si="5"/>
        <v>4.841180761870012E-3</v>
      </c>
      <c r="L21" s="7">
        <f t="shared" si="5"/>
        <v>-3.9416573429007506E-4</v>
      </c>
      <c r="M21" s="7">
        <f t="shared" si="5"/>
        <v>9.1478726993443615E-7</v>
      </c>
      <c r="N21" s="7">
        <f t="shared" si="5"/>
        <v>3.8324925011323785E-7</v>
      </c>
      <c r="O21" s="1" t="s">
        <v>40</v>
      </c>
      <c r="Q21" s="22">
        <f t="shared" ref="Q21:U27" si="6">J21/B21</f>
        <v>-1.7469777815634307E-7</v>
      </c>
      <c r="R21" s="22">
        <f t="shared" si="6"/>
        <v>2.5233669274717925E-3</v>
      </c>
      <c r="S21" s="22">
        <f t="shared" si="6"/>
        <v>-2.049337425300406E-4</v>
      </c>
      <c r="T21" s="22">
        <f t="shared" si="6"/>
        <v>4.7571158398009265E-7</v>
      </c>
      <c r="U21" s="22">
        <f t="shared" si="6"/>
        <v>1.9929881743301337E-7</v>
      </c>
      <c r="V21" s="1" t="s">
        <v>40</v>
      </c>
      <c r="X21" s="6">
        <f t="shared" ref="X21:AB27" si="7">C21-$B21</f>
        <v>-3.3516475994588291E-7</v>
      </c>
      <c r="Y21" s="6">
        <f t="shared" si="7"/>
        <v>4.8408455971100661E-3</v>
      </c>
      <c r="Z21" s="6">
        <f t="shared" si="7"/>
        <v>4.4466798628199911E-3</v>
      </c>
      <c r="AA21" s="6">
        <f t="shared" si="7"/>
        <v>4.4475946500899255E-3</v>
      </c>
      <c r="AB21" s="6">
        <f t="shared" si="7"/>
        <v>4.4479778993400387E-3</v>
      </c>
      <c r="AC21" s="1" t="s">
        <v>40</v>
      </c>
      <c r="AE21" s="22">
        <f t="shared" si="4"/>
        <v>-1.7469777815634307E-7</v>
      </c>
      <c r="AF21" s="22">
        <f t="shared" ref="AF21:AF27" si="8">Y21/$B21</f>
        <v>2.5231917888670404E-3</v>
      </c>
      <c r="AG21" s="22">
        <f t="shared" ref="AG21:AG27" si="9">Z21/$B21</f>
        <v>2.3177409592005861E-3</v>
      </c>
      <c r="AH21" s="22">
        <f t="shared" ref="AH21:AI27" si="10">AA21/$B21</f>
        <v>2.3182177733607891E-3</v>
      </c>
      <c r="AI21" s="22">
        <f t="shared" si="10"/>
        <v>2.3184175341962828E-3</v>
      </c>
      <c r="AJ21" s="1" t="s">
        <v>40</v>
      </c>
    </row>
    <row r="22" spans="1:36" x14ac:dyDescent="0.25">
      <c r="A22" s="2">
        <v>40</v>
      </c>
      <c r="B22" s="6">
        <v>2.6130553933395699</v>
      </c>
      <c r="C22" s="14">
        <v>2.61304613529978</v>
      </c>
      <c r="D22" s="14">
        <v>2.6174361825422299</v>
      </c>
      <c r="E22" s="14">
        <v>2.6143493941281899</v>
      </c>
      <c r="F22" s="14">
        <v>2.6143747363233301</v>
      </c>
      <c r="G22" s="14">
        <v>2.6143853247085</v>
      </c>
      <c r="H22" s="1" t="s">
        <v>40</v>
      </c>
      <c r="J22" s="7">
        <f t="shared" si="5"/>
        <v>-9.2580397899055811E-6</v>
      </c>
      <c r="K22" s="7">
        <f t="shared" si="5"/>
        <v>4.390047242449846E-3</v>
      </c>
      <c r="L22" s="7">
        <f t="shared" si="5"/>
        <v>-3.0867884140399759E-3</v>
      </c>
      <c r="M22" s="7">
        <f t="shared" si="5"/>
        <v>2.5342195140165558E-5</v>
      </c>
      <c r="N22" s="7">
        <f t="shared" si="5"/>
        <v>1.058838516998506E-5</v>
      </c>
      <c r="O22" s="1" t="s">
        <v>40</v>
      </c>
      <c r="Q22" s="22">
        <f t="shared" si="6"/>
        <v>-3.5429940802263301E-6</v>
      </c>
      <c r="R22" s="22">
        <f t="shared" si="6"/>
        <v>1.680049649007135E-3</v>
      </c>
      <c r="S22" s="22">
        <f t="shared" si="6"/>
        <v>-1.1793175454011947E-3</v>
      </c>
      <c r="T22" s="22">
        <f t="shared" si="6"/>
        <v>9.6934997277272676E-6</v>
      </c>
      <c r="U22" s="22">
        <f t="shared" si="6"/>
        <v>4.0500640642189678E-6</v>
      </c>
      <c r="V22" s="1" t="s">
        <v>40</v>
      </c>
      <c r="X22" s="6">
        <f t="shared" si="7"/>
        <v>-9.2580397899055811E-6</v>
      </c>
      <c r="Y22" s="6">
        <f t="shared" si="7"/>
        <v>4.3807892026599404E-3</v>
      </c>
      <c r="Z22" s="6">
        <f t="shared" si="7"/>
        <v>1.2940007886199645E-3</v>
      </c>
      <c r="AA22" s="6">
        <f t="shared" si="7"/>
        <v>1.31934298376013E-3</v>
      </c>
      <c r="AB22" s="6">
        <f t="shared" si="7"/>
        <v>1.3299313689301151E-3</v>
      </c>
      <c r="AC22" s="1" t="s">
        <v>40</v>
      </c>
      <c r="AE22" s="22">
        <f t="shared" si="4"/>
        <v>-3.5429940802263301E-6</v>
      </c>
      <c r="AF22" s="22">
        <f t="shared" si="8"/>
        <v>1.6765007025209477E-3</v>
      </c>
      <c r="AG22" s="22">
        <f t="shared" si="9"/>
        <v>4.9520603042639262E-4</v>
      </c>
      <c r="AH22" s="22">
        <f t="shared" si="10"/>
        <v>5.0490433043364098E-4</v>
      </c>
      <c r="AI22" s="22">
        <f t="shared" si="10"/>
        <v>5.089564393927446E-4</v>
      </c>
      <c r="AJ22" s="1" t="s">
        <v>40</v>
      </c>
    </row>
    <row r="23" spans="1:36" x14ac:dyDescent="0.25">
      <c r="A23" s="2">
        <v>50</v>
      </c>
      <c r="B23" s="6">
        <v>3.4470614408014799</v>
      </c>
      <c r="C23" s="14">
        <v>3.4468044913128102</v>
      </c>
      <c r="D23" s="14">
        <v>3.45039824322388</v>
      </c>
      <c r="E23" s="14">
        <v>3.4338681795998198</v>
      </c>
      <c r="F23" s="14">
        <v>3.4345615249527599</v>
      </c>
      <c r="G23" s="14">
        <v>3.43484805838948</v>
      </c>
      <c r="H23" s="1" t="s">
        <v>40</v>
      </c>
      <c r="J23" s="7">
        <f t="shared" si="5"/>
        <v>-2.5694948866972211E-4</v>
      </c>
      <c r="K23" s="7">
        <f t="shared" si="5"/>
        <v>3.5937519110698091E-3</v>
      </c>
      <c r="L23" s="7">
        <f t="shared" si="5"/>
        <v>-1.6530063624060176E-2</v>
      </c>
      <c r="M23" s="7">
        <f t="shared" si="5"/>
        <v>6.9334535294007793E-4</v>
      </c>
      <c r="N23" s="7">
        <f t="shared" si="5"/>
        <v>2.8653343672013776E-4</v>
      </c>
      <c r="O23" s="1" t="s">
        <v>40</v>
      </c>
      <c r="Q23" s="22">
        <f t="shared" si="6"/>
        <v>-7.4541603937868455E-5</v>
      </c>
      <c r="R23" s="22">
        <f t="shared" si="6"/>
        <v>1.0426329431005906E-3</v>
      </c>
      <c r="S23" s="22">
        <f t="shared" si="6"/>
        <v>-4.7907697775243794E-3</v>
      </c>
      <c r="T23" s="22">
        <f t="shared" si="6"/>
        <v>2.0191379420420264E-4</v>
      </c>
      <c r="U23" s="22">
        <f t="shared" si="6"/>
        <v>8.3426496989038164E-5</v>
      </c>
      <c r="V23" s="1" t="s">
        <v>40</v>
      </c>
      <c r="X23" s="6">
        <f t="shared" si="7"/>
        <v>-2.5694948866972211E-4</v>
      </c>
      <c r="Y23" s="6">
        <f t="shared" si="7"/>
        <v>3.336802422400087E-3</v>
      </c>
      <c r="Z23" s="6">
        <f t="shared" si="7"/>
        <v>-1.3193261201660089E-2</v>
      </c>
      <c r="AA23" s="6">
        <f t="shared" si="7"/>
        <v>-1.2499915848720011E-2</v>
      </c>
      <c r="AB23" s="6">
        <f t="shared" si="7"/>
        <v>-1.2213382411999874E-2</v>
      </c>
      <c r="AC23" s="1" t="s">
        <v>40</v>
      </c>
      <c r="AE23" s="22">
        <f t="shared" si="4"/>
        <v>-7.4541603937868455E-5</v>
      </c>
      <c r="AF23" s="22">
        <f t="shared" si="8"/>
        <v>9.6801361963082483E-4</v>
      </c>
      <c r="AG23" s="22">
        <f t="shared" si="9"/>
        <v>-3.8273936882867138E-3</v>
      </c>
      <c r="AH23" s="22">
        <f t="shared" si="10"/>
        <v>-3.6262526976640263E-3</v>
      </c>
      <c r="AI23" s="22">
        <f t="shared" si="10"/>
        <v>-3.5431287262347511E-3</v>
      </c>
      <c r="AJ23" s="1" t="s">
        <v>40</v>
      </c>
    </row>
    <row r="24" spans="1:36" x14ac:dyDescent="0.25">
      <c r="A24" s="2">
        <v>60</v>
      </c>
      <c r="B24" s="6">
        <v>4.18860095729117</v>
      </c>
      <c r="C24" s="14">
        <v>4.1864745607654497</v>
      </c>
      <c r="D24" s="14">
        <v>4.18715748867832</v>
      </c>
      <c r="E24" s="14">
        <v>4.1609437730835301</v>
      </c>
      <c r="F24" s="14">
        <v>4.1655269739204597</v>
      </c>
      <c r="G24" s="14">
        <v>4.1656896677739699</v>
      </c>
      <c r="H24" s="1" t="s">
        <v>40</v>
      </c>
      <c r="J24" s="7">
        <f t="shared" si="5"/>
        <v>-2.126396525720331E-3</v>
      </c>
      <c r="K24" s="7">
        <f t="shared" si="5"/>
        <v>6.8292791287039023E-4</v>
      </c>
      <c r="L24" s="7">
        <f t="shared" si="5"/>
        <v>-2.621371559478991E-2</v>
      </c>
      <c r="M24" s="7">
        <f t="shared" si="5"/>
        <v>4.5832008369295352E-3</v>
      </c>
      <c r="N24" s="7">
        <f t="shared" si="5"/>
        <v>1.6269385351019849E-4</v>
      </c>
      <c r="O24" s="1" t="s">
        <v>40</v>
      </c>
      <c r="Q24" s="22">
        <f t="shared" si="6"/>
        <v>-5.0766271301611477E-4</v>
      </c>
      <c r="R24" s="22">
        <f t="shared" si="6"/>
        <v>1.6312720953104862E-4</v>
      </c>
      <c r="S24" s="22">
        <f t="shared" si="6"/>
        <v>-6.2605038539078912E-3</v>
      </c>
      <c r="T24" s="22">
        <f t="shared" si="6"/>
        <v>1.1014810790228691E-3</v>
      </c>
      <c r="U24" s="22">
        <f t="shared" si="6"/>
        <v>3.9057208014446314E-5</v>
      </c>
      <c r="V24" s="1" t="s">
        <v>40</v>
      </c>
      <c r="X24" s="6">
        <f t="shared" si="7"/>
        <v>-2.126396525720331E-3</v>
      </c>
      <c r="Y24" s="6">
        <f t="shared" si="7"/>
        <v>-1.4434686128499408E-3</v>
      </c>
      <c r="Z24" s="6">
        <f t="shared" si="7"/>
        <v>-2.7657184207639851E-2</v>
      </c>
      <c r="AA24" s="6">
        <f t="shared" si="7"/>
        <v>-2.3073983370710316E-2</v>
      </c>
      <c r="AB24" s="6">
        <f t="shared" si="7"/>
        <v>-2.2911289517200117E-2</v>
      </c>
      <c r="AC24" s="1" t="s">
        <v>40</v>
      </c>
      <c r="AE24" s="22">
        <f t="shared" si="4"/>
        <v>-5.0766271301611477E-4</v>
      </c>
      <c r="AF24" s="22">
        <f t="shared" si="8"/>
        <v>-3.4461831708682347E-4</v>
      </c>
      <c r="AG24" s="22">
        <f t="shared" si="9"/>
        <v>-6.6029646866924653E-3</v>
      </c>
      <c r="AH24" s="22">
        <f t="shared" si="10"/>
        <v>-5.5087566483374446E-3</v>
      </c>
      <c r="AI24" s="22">
        <f t="shared" si="10"/>
        <v>-5.4699145969773133E-3</v>
      </c>
      <c r="AJ24" s="1" t="s">
        <v>40</v>
      </c>
    </row>
    <row r="25" spans="1:36" x14ac:dyDescent="0.25">
      <c r="A25" s="2">
        <v>70</v>
      </c>
      <c r="B25" s="6">
        <v>4.5250917429508304</v>
      </c>
      <c r="C25" s="14">
        <v>4.5248970422519204</v>
      </c>
      <c r="D25" s="14">
        <v>4.5189962856193304</v>
      </c>
      <c r="E25" s="14">
        <v>4.4828989053696304</v>
      </c>
      <c r="F25" s="14">
        <v>4.4885942214167596</v>
      </c>
      <c r="G25" s="14">
        <v>4.4841493352577402</v>
      </c>
      <c r="H25" s="1" t="s">
        <v>40</v>
      </c>
      <c r="J25" s="7">
        <f t="shared" si="5"/>
        <v>-1.9470069891003305E-4</v>
      </c>
      <c r="K25" s="7">
        <f t="shared" si="5"/>
        <v>-5.9007566325899319E-3</v>
      </c>
      <c r="L25" s="7">
        <f t="shared" si="5"/>
        <v>-3.6097380249699995E-2</v>
      </c>
      <c r="M25" s="7">
        <f t="shared" si="5"/>
        <v>5.6953160471291397E-3</v>
      </c>
      <c r="N25" s="7">
        <f t="shared" si="5"/>
        <v>-4.44488615901939E-3</v>
      </c>
      <c r="O25" s="1" t="s">
        <v>40</v>
      </c>
      <c r="Q25" s="22">
        <f t="shared" si="6"/>
        <v>-4.3026906407662784E-5</v>
      </c>
      <c r="R25" s="22">
        <f t="shared" si="6"/>
        <v>-1.3040642864336385E-3</v>
      </c>
      <c r="S25" s="22">
        <f t="shared" si="6"/>
        <v>-7.9879198760511565E-3</v>
      </c>
      <c r="T25" s="22">
        <f t="shared" si="6"/>
        <v>1.2704538218132183E-3</v>
      </c>
      <c r="U25" s="22">
        <f t="shared" si="6"/>
        <v>-9.9026241619507016E-4</v>
      </c>
      <c r="V25" s="1" t="s">
        <v>40</v>
      </c>
      <c r="X25" s="6">
        <f t="shared" si="7"/>
        <v>-1.9470069891003305E-4</v>
      </c>
      <c r="Y25" s="6">
        <f t="shared" si="7"/>
        <v>-6.0954573314999649E-3</v>
      </c>
      <c r="Z25" s="6">
        <f t="shared" si="7"/>
        <v>-4.219283758119996E-2</v>
      </c>
      <c r="AA25" s="6">
        <f t="shared" si="7"/>
        <v>-3.649752153407082E-2</v>
      </c>
      <c r="AB25" s="6">
        <f t="shared" si="7"/>
        <v>-4.094240769309021E-2</v>
      </c>
      <c r="AC25" s="1" t="s">
        <v>40</v>
      </c>
      <c r="AE25" s="22">
        <f t="shared" si="4"/>
        <v>-4.3026906407662784E-5</v>
      </c>
      <c r="AF25" s="22">
        <f t="shared" si="8"/>
        <v>-1.3470350829892994E-3</v>
      </c>
      <c r="AG25" s="22">
        <f t="shared" si="9"/>
        <v>-9.3241949507273068E-3</v>
      </c>
      <c r="AH25" s="22">
        <f t="shared" si="10"/>
        <v>-8.0655870880245711E-3</v>
      </c>
      <c r="AI25" s="22">
        <f t="shared" si="10"/>
        <v>-9.0478624564618217E-3</v>
      </c>
      <c r="AJ25" s="1" t="s">
        <v>40</v>
      </c>
    </row>
    <row r="26" spans="1:36" x14ac:dyDescent="0.25">
      <c r="A26" s="2">
        <v>80</v>
      </c>
      <c r="B26" s="6">
        <v>4.1169356858289001</v>
      </c>
      <c r="C26" s="14">
        <v>4.1224765268293302</v>
      </c>
      <c r="D26" s="14">
        <v>4.1134525247036704</v>
      </c>
      <c r="E26" s="14">
        <v>4.1270707160612501</v>
      </c>
      <c r="F26" s="14">
        <v>4.12263439274696</v>
      </c>
      <c r="G26" s="14">
        <v>4.1043282469808897</v>
      </c>
      <c r="H26" s="1" t="s">
        <v>40</v>
      </c>
      <c r="J26" s="7">
        <f t="shared" si="5"/>
        <v>5.5408410004300634E-3</v>
      </c>
      <c r="K26" s="7">
        <f t="shared" si="5"/>
        <v>-9.0240021256597913E-3</v>
      </c>
      <c r="L26" s="7">
        <f t="shared" si="5"/>
        <v>1.361819135757969E-2</v>
      </c>
      <c r="M26" s="7">
        <f t="shared" si="5"/>
        <v>-4.4363233142901137E-3</v>
      </c>
      <c r="N26" s="7">
        <f t="shared" si="5"/>
        <v>-1.8306145766070259E-2</v>
      </c>
      <c r="O26" s="1" t="s">
        <v>40</v>
      </c>
      <c r="Q26" s="22">
        <f t="shared" si="6"/>
        <v>1.3458653287935626E-3</v>
      </c>
      <c r="R26" s="22">
        <f t="shared" si="6"/>
        <v>-2.1889759873539682E-3</v>
      </c>
      <c r="S26" s="22">
        <f t="shared" si="6"/>
        <v>3.3106475097973162E-3</v>
      </c>
      <c r="T26" s="22">
        <f t="shared" si="6"/>
        <v>-1.0749327112388335E-3</v>
      </c>
      <c r="U26" s="22">
        <f t="shared" si="6"/>
        <v>-4.440400002065829E-3</v>
      </c>
      <c r="V26" s="1" t="s">
        <v>40</v>
      </c>
      <c r="X26" s="6">
        <f t="shared" si="7"/>
        <v>5.5408410004300634E-3</v>
      </c>
      <c r="Y26" s="6">
        <f t="shared" si="7"/>
        <v>-3.4831611252297279E-3</v>
      </c>
      <c r="Z26" s="6">
        <f t="shared" si="7"/>
        <v>1.0135030232349962E-2</v>
      </c>
      <c r="AA26" s="6">
        <f t="shared" si="7"/>
        <v>5.6987069180598482E-3</v>
      </c>
      <c r="AB26" s="6">
        <f t="shared" si="7"/>
        <v>-1.260743884801041E-2</v>
      </c>
      <c r="AC26" s="1" t="s">
        <v>40</v>
      </c>
      <c r="AE26" s="22">
        <f t="shared" si="4"/>
        <v>1.3458653287935626E-3</v>
      </c>
      <c r="AF26" s="22">
        <f t="shared" si="8"/>
        <v>-8.4605672544734725E-4</v>
      </c>
      <c r="AG26" s="22">
        <f t="shared" si="9"/>
        <v>2.4617897887587196E-3</v>
      </c>
      <c r="AH26" s="22">
        <f t="shared" si="10"/>
        <v>1.3842108191477554E-3</v>
      </c>
      <c r="AI26" s="22">
        <f t="shared" si="10"/>
        <v>-3.0623356326422769E-3</v>
      </c>
      <c r="AJ26" s="1" t="s">
        <v>40</v>
      </c>
    </row>
    <row r="27" spans="1:36" x14ac:dyDescent="0.25">
      <c r="A27" s="2">
        <v>90</v>
      </c>
      <c r="B27" s="6">
        <v>2.6256040886526</v>
      </c>
      <c r="C27" s="14">
        <v>2.62420814295717</v>
      </c>
      <c r="D27" s="14">
        <v>2.6186907857616499</v>
      </c>
      <c r="E27" s="14">
        <v>2.6530630911853601</v>
      </c>
      <c r="F27" s="14">
        <v>2.65223782157948</v>
      </c>
      <c r="G27" s="14">
        <v>2.6329318577380598</v>
      </c>
      <c r="H27" s="1" t="s">
        <v>40</v>
      </c>
      <c r="J27" s="7">
        <f t="shared" si="5"/>
        <v>-1.3959456954300009E-3</v>
      </c>
      <c r="K27" s="7">
        <f t="shared" si="5"/>
        <v>-5.5173571955200451E-3</v>
      </c>
      <c r="L27" s="7">
        <f t="shared" si="5"/>
        <v>3.437230542371017E-2</v>
      </c>
      <c r="M27" s="7">
        <f t="shared" si="5"/>
        <v>-8.252696058801412E-4</v>
      </c>
      <c r="N27" s="7">
        <f t="shared" si="5"/>
        <v>-1.9305963841420137E-2</v>
      </c>
      <c r="O27" s="1" t="s">
        <v>40</v>
      </c>
      <c r="Q27" s="22">
        <f t="shared" si="6"/>
        <v>-5.3166648447229082E-4</v>
      </c>
      <c r="R27" s="22">
        <f t="shared" si="6"/>
        <v>-2.1024845953349727E-3</v>
      </c>
      <c r="S27" s="22">
        <f t="shared" si="6"/>
        <v>1.3125759486610381E-2</v>
      </c>
      <c r="T27" s="22">
        <f t="shared" si="6"/>
        <v>-3.1106294027535532E-4</v>
      </c>
      <c r="U27" s="22">
        <f t="shared" si="6"/>
        <v>-7.2791224393003E-3</v>
      </c>
      <c r="V27" s="1" t="s">
        <v>40</v>
      </c>
      <c r="X27" s="6">
        <f t="shared" si="7"/>
        <v>-1.3959456954300009E-3</v>
      </c>
      <c r="Y27" s="6">
        <f t="shared" si="7"/>
        <v>-6.913302890950046E-3</v>
      </c>
      <c r="Z27" s="6">
        <f t="shared" si="7"/>
        <v>2.7459002532760124E-2</v>
      </c>
      <c r="AA27" s="6">
        <f t="shared" si="7"/>
        <v>2.6633732926879983E-2</v>
      </c>
      <c r="AB27" s="6">
        <f t="shared" si="7"/>
        <v>7.3277690854598454E-3</v>
      </c>
      <c r="AC27" s="1" t="s">
        <v>40</v>
      </c>
      <c r="AE27" s="22">
        <f t="shared" si="4"/>
        <v>-5.3166648447229082E-4</v>
      </c>
      <c r="AF27" s="22">
        <f t="shared" si="8"/>
        <v>-2.6330332592138044E-3</v>
      </c>
      <c r="AG27" s="22">
        <f t="shared" si="9"/>
        <v>1.045816566611589E-2</v>
      </c>
      <c r="AH27" s="22">
        <f t="shared" si="10"/>
        <v>1.0143849578078547E-2</v>
      </c>
      <c r="AI27" s="22">
        <f t="shared" si="10"/>
        <v>2.7908888156935683E-3</v>
      </c>
      <c r="AJ27" s="1" t="s">
        <v>40</v>
      </c>
    </row>
    <row r="28" spans="1:36" x14ac:dyDescent="0.25">
      <c r="B28" s="3"/>
      <c r="C28" s="15"/>
      <c r="D28" s="20"/>
      <c r="E28" s="20"/>
      <c r="F28" s="20"/>
      <c r="G28" s="20"/>
      <c r="H28" s="1" t="s">
        <v>40</v>
      </c>
      <c r="J28" s="3"/>
      <c r="K28" s="3"/>
      <c r="L28" s="3"/>
      <c r="M28" s="3"/>
      <c r="N28" s="3"/>
      <c r="O28" s="1" t="s">
        <v>40</v>
      </c>
      <c r="Q28" s="9"/>
      <c r="R28" s="9"/>
      <c r="S28" s="9"/>
      <c r="T28" s="23"/>
      <c r="U28" s="23"/>
      <c r="V28" s="1" t="s">
        <v>40</v>
      </c>
      <c r="X28" s="3"/>
      <c r="Y28" s="3"/>
      <c r="Z28" s="3"/>
      <c r="AA28" s="3"/>
      <c r="AB28" s="3"/>
      <c r="AC28" s="1" t="s">
        <v>40</v>
      </c>
      <c r="AE28" s="9"/>
      <c r="AF28" s="9"/>
      <c r="AG28" s="9"/>
      <c r="AH28" s="9"/>
      <c r="AI28" s="9"/>
      <c r="AJ28" s="1" t="s">
        <v>40</v>
      </c>
    </row>
    <row r="29" spans="1:36" x14ac:dyDescent="0.25">
      <c r="A29" s="1" t="s">
        <v>4</v>
      </c>
      <c r="B29" s="3"/>
      <c r="C29" s="15"/>
      <c r="D29" s="20"/>
      <c r="E29" s="20"/>
      <c r="F29" s="20"/>
      <c r="G29" s="20"/>
      <c r="H29" s="1" t="s">
        <v>40</v>
      </c>
      <c r="J29" s="3"/>
      <c r="K29" s="3"/>
      <c r="L29" s="3"/>
      <c r="M29" s="3"/>
      <c r="N29" s="3"/>
      <c r="O29" s="1" t="s">
        <v>40</v>
      </c>
      <c r="Q29" s="9"/>
      <c r="R29" s="9"/>
      <c r="S29" s="9"/>
      <c r="T29" s="23"/>
      <c r="U29" s="23"/>
      <c r="V29" s="1" t="s">
        <v>40</v>
      </c>
      <c r="X29" s="3"/>
      <c r="Y29" s="3"/>
      <c r="Z29" s="3"/>
      <c r="AA29" s="3"/>
      <c r="AB29" s="3"/>
      <c r="AC29" s="1" t="s">
        <v>40</v>
      </c>
      <c r="AE29" s="9"/>
      <c r="AF29" s="9"/>
      <c r="AG29" s="9"/>
      <c r="AH29" s="9"/>
      <c r="AI29" s="9"/>
      <c r="AJ29" s="1" t="s">
        <v>40</v>
      </c>
    </row>
    <row r="30" spans="1:36" x14ac:dyDescent="0.25">
      <c r="A30" s="2" t="s">
        <v>20</v>
      </c>
      <c r="B30" s="3" t="str" cm="1">
        <f t="array" ref="B30:G30">_xlfn.ANCHORARRAY(B20)</f>
        <v>0. AG2024</v>
      </c>
      <c r="C30" s="15" t="str">
        <v>1. AG2024 PreCovid</v>
      </c>
      <c r="D30" s="20" t="str">
        <v>2. Update PreCovid HMD-sterftedate</v>
      </c>
      <c r="E30" s="20" t="str">
        <v>3. Modelwijziging startpunt prognose</v>
      </c>
      <c r="F30" s="20" t="str">
        <v>4. Vernieuwde oversterfteparameters obv 2022/2023</v>
      </c>
      <c r="G30" s="20" t="str">
        <v>5. Kalibratieperiode 2022-2025</v>
      </c>
      <c r="H30" s="1" t="s">
        <v>40</v>
      </c>
      <c r="I30" s="1" t="str" cm="1">
        <f t="array" ref="I30:N30">_xlfn.ANCHORARRAY(B10)</f>
        <v>0. AG2024</v>
      </c>
      <c r="J30" s="3" t="str">
        <v>1. AG2024 PreCovid</v>
      </c>
      <c r="K30" s="3" t="str">
        <v>2. Update PreCovid HMD-sterftedate</v>
      </c>
      <c r="L30" s="3" t="str">
        <v>3. Modelwijziging startpunt prognose</v>
      </c>
      <c r="M30" s="3" t="str">
        <v>4. Vernieuwde oversterfteparameters obv 2022/2023</v>
      </c>
      <c r="N30" s="3" t="str">
        <v>5. Kalibratieperiode 2022-2025</v>
      </c>
      <c r="O30" s="1" t="s">
        <v>40</v>
      </c>
      <c r="P30" s="4" t="str" cm="1">
        <f t="array" ref="P30:U30">_xlfn.ANCHORARRAY(B10)</f>
        <v>0. AG2024</v>
      </c>
      <c r="Q30" s="9" t="str">
        <v>1. AG2024 PreCovid</v>
      </c>
      <c r="R30" s="9" t="str">
        <v>2. Update PreCovid HMD-sterftedate</v>
      </c>
      <c r="S30" s="9" t="str">
        <v>3. Modelwijziging startpunt prognose</v>
      </c>
      <c r="T30" s="23" t="str">
        <v>4. Vernieuwde oversterfteparameters obv 2022/2023</v>
      </c>
      <c r="U30" s="23" t="str">
        <v>5. Kalibratieperiode 2022-2025</v>
      </c>
      <c r="V30" s="1" t="s">
        <v>40</v>
      </c>
      <c r="W30" s="1" t="str" cm="1">
        <f t="array" ref="W30:AB30">_xlfn.ANCHORARRAY($B$10)</f>
        <v>0. AG2024</v>
      </c>
      <c r="X30" s="3" t="str">
        <v>1. AG2024 PreCovid</v>
      </c>
      <c r="Y30" s="3" t="str">
        <v>2. Update PreCovid HMD-sterftedate</v>
      </c>
      <c r="Z30" s="3" t="str">
        <v>3. Modelwijziging startpunt prognose</v>
      </c>
      <c r="AA30" s="3" t="str">
        <v>4. Vernieuwde oversterfteparameters obv 2022/2023</v>
      </c>
      <c r="AB30" s="3" t="str">
        <v>5. Kalibratieperiode 2022-2025</v>
      </c>
      <c r="AC30" s="1" t="s">
        <v>40</v>
      </c>
      <c r="AD30" s="1" t="str" cm="1">
        <f t="array" ref="AD30:AI30">_xlfn.ANCHORARRAY($B$10)</f>
        <v>0. AG2024</v>
      </c>
      <c r="AE30" s="9" t="str">
        <v>1. AG2024 PreCovid</v>
      </c>
      <c r="AF30" s="9" t="str">
        <v>2. Update PreCovid HMD-sterftedate</v>
      </c>
      <c r="AG30" s="9" t="str">
        <v>3. Modelwijziging startpunt prognose</v>
      </c>
      <c r="AH30" s="9" t="str">
        <v>4. Vernieuwde oversterfteparameters obv 2022/2023</v>
      </c>
      <c r="AI30" s="9" t="str">
        <v>5. Kalibratieperiode 2022-2025</v>
      </c>
      <c r="AJ30" s="1" t="s">
        <v>40</v>
      </c>
    </row>
    <row r="31" spans="1:36" x14ac:dyDescent="0.25">
      <c r="A31" s="2">
        <v>30</v>
      </c>
      <c r="B31" s="6">
        <v>27.209147746813699</v>
      </c>
      <c r="C31" s="14">
        <v>27.209148137091098</v>
      </c>
      <c r="D31" s="14">
        <v>27.191419443232501</v>
      </c>
      <c r="E31" s="14">
        <v>27.191841600497899</v>
      </c>
      <c r="F31" s="14">
        <v>27.1918405985639</v>
      </c>
      <c r="G31" s="14">
        <v>27.191840186994401</v>
      </c>
      <c r="H31" s="1" t="s">
        <v>40</v>
      </c>
      <c r="J31" s="7">
        <f t="shared" ref="J31:N37" si="11">C31-B31</f>
        <v>3.90277399731076E-7</v>
      </c>
      <c r="K31" s="7">
        <f t="shared" si="11"/>
        <v>-1.7728693858597211E-2</v>
      </c>
      <c r="L31" s="7">
        <f t="shared" si="11"/>
        <v>4.2215726539751586E-4</v>
      </c>
      <c r="M31" s="7">
        <f t="shared" si="11"/>
        <v>-1.0019339988787124E-6</v>
      </c>
      <c r="N31" s="7">
        <f t="shared" si="11"/>
        <v>-4.1156949848186741E-7</v>
      </c>
      <c r="O31" s="1" t="s">
        <v>40</v>
      </c>
      <c r="Q31" s="22">
        <f t="shared" ref="Q31:U37" si="12">J31/B31</f>
        <v>1.4343609853666918E-8</v>
      </c>
      <c r="R31" s="22">
        <f t="shared" si="12"/>
        <v>-6.5157107342253486E-4</v>
      </c>
      <c r="S31" s="22">
        <f t="shared" si="12"/>
        <v>1.5525385362057069E-5</v>
      </c>
      <c r="T31" s="22">
        <f t="shared" si="12"/>
        <v>-3.6846860672370433E-8</v>
      </c>
      <c r="U31" s="22">
        <f t="shared" si="12"/>
        <v>-1.5135771960343278E-8</v>
      </c>
      <c r="V31" s="1" t="s">
        <v>40</v>
      </c>
      <c r="X31" s="6">
        <f t="shared" ref="X31:AB37" si="13">C31-$B31</f>
        <v>3.90277399731076E-7</v>
      </c>
      <c r="Y31" s="6">
        <f t="shared" si="13"/>
        <v>-1.772830358119748E-2</v>
      </c>
      <c r="Z31" s="6">
        <f t="shared" si="13"/>
        <v>-1.7306146315799964E-2</v>
      </c>
      <c r="AA31" s="6">
        <f t="shared" si="13"/>
        <v>-1.7307148249798843E-2</v>
      </c>
      <c r="AB31" s="6">
        <f t="shared" si="13"/>
        <v>-1.7307559819297325E-2</v>
      </c>
      <c r="AC31" s="1" t="s">
        <v>40</v>
      </c>
      <c r="AE31" s="22">
        <f t="shared" si="4"/>
        <v>1.4343609853666918E-8</v>
      </c>
      <c r="AF31" s="22">
        <f t="shared" ref="AF31:AF37" si="14">Y31/$B31</f>
        <v>-6.5155673915856245E-4</v>
      </c>
      <c r="AG31" s="22">
        <f t="shared" ref="AG31:AG37" si="15">Z31/$B31</f>
        <v>-6.3604146946596605E-4</v>
      </c>
      <c r="AH31" s="22">
        <f t="shared" ref="AH31:AI37" si="16">AA31/$B31</f>
        <v>-6.3607829289050698E-4</v>
      </c>
      <c r="AI31" s="22">
        <f t="shared" si="16"/>
        <v>-6.3609341903493133E-4</v>
      </c>
      <c r="AJ31" s="1" t="s">
        <v>40</v>
      </c>
    </row>
    <row r="32" spans="1:36" x14ac:dyDescent="0.25">
      <c r="A32" s="2">
        <v>40</v>
      </c>
      <c r="B32" s="6">
        <v>24.723907530858099</v>
      </c>
      <c r="C32" s="14">
        <v>24.7239184637534</v>
      </c>
      <c r="D32" s="14">
        <v>24.702711942729</v>
      </c>
      <c r="E32" s="14">
        <v>24.706110201092901</v>
      </c>
      <c r="F32" s="14">
        <v>24.706082184412701</v>
      </c>
      <c r="G32" s="14">
        <v>24.706070687788799</v>
      </c>
      <c r="H32" s="1" t="s">
        <v>40</v>
      </c>
      <c r="J32" s="7">
        <f t="shared" si="11"/>
        <v>1.0932895300186374E-5</v>
      </c>
      <c r="K32" s="7">
        <f t="shared" si="11"/>
        <v>-2.1206521024399905E-2</v>
      </c>
      <c r="L32" s="7">
        <f t="shared" si="11"/>
        <v>3.3982583639016184E-3</v>
      </c>
      <c r="M32" s="7">
        <f t="shared" si="11"/>
        <v>-2.8016680200693145E-5</v>
      </c>
      <c r="N32" s="7">
        <f t="shared" si="11"/>
        <v>-1.1496623901763314E-5</v>
      </c>
      <c r="O32" s="1" t="s">
        <v>40</v>
      </c>
      <c r="Q32" s="22">
        <f t="shared" si="12"/>
        <v>4.4219932818228443E-7</v>
      </c>
      <c r="R32" s="22">
        <f t="shared" si="12"/>
        <v>-8.5773301086920382E-4</v>
      </c>
      <c r="S32" s="22">
        <f t="shared" si="12"/>
        <v>1.3756620616311977E-4</v>
      </c>
      <c r="T32" s="22">
        <f t="shared" si="12"/>
        <v>-1.1339980261018101E-6</v>
      </c>
      <c r="U32" s="22">
        <f t="shared" si="12"/>
        <v>-4.6533577505123992E-7</v>
      </c>
      <c r="V32" s="1" t="s">
        <v>40</v>
      </c>
      <c r="X32" s="6">
        <f t="shared" si="13"/>
        <v>1.0932895300186374E-5</v>
      </c>
      <c r="Y32" s="6">
        <f t="shared" si="13"/>
        <v>-2.1195588129099718E-2</v>
      </c>
      <c r="Z32" s="6">
        <f t="shared" si="13"/>
        <v>-1.77973297651981E-2</v>
      </c>
      <c r="AA32" s="6">
        <f t="shared" si="13"/>
        <v>-1.7825346445398793E-2</v>
      </c>
      <c r="AB32" s="6">
        <f t="shared" si="13"/>
        <v>-1.7836843069300556E-2</v>
      </c>
      <c r="AC32" s="1" t="s">
        <v>40</v>
      </c>
      <c r="AE32" s="22">
        <f t="shared" si="4"/>
        <v>4.4219932818228443E-7</v>
      </c>
      <c r="AF32" s="22">
        <f t="shared" si="14"/>
        <v>-8.5729119082998272E-4</v>
      </c>
      <c r="AG32" s="22">
        <f t="shared" si="15"/>
        <v>-7.1984291896356252E-4</v>
      </c>
      <c r="AH32" s="22">
        <f t="shared" si="16"/>
        <v>-7.2097610068921512E-4</v>
      </c>
      <c r="AI32" s="22">
        <f t="shared" si="16"/>
        <v>-7.214411009682938E-4</v>
      </c>
      <c r="AJ32" s="1" t="s">
        <v>40</v>
      </c>
    </row>
    <row r="33" spans="1:36" x14ac:dyDescent="0.25">
      <c r="A33" s="2">
        <v>50</v>
      </c>
      <c r="B33" s="6">
        <v>21.409376436920901</v>
      </c>
      <c r="C33" s="14">
        <v>21.409684473538999</v>
      </c>
      <c r="D33" s="14">
        <v>21.384854819427201</v>
      </c>
      <c r="E33" s="14">
        <v>21.402785697775698</v>
      </c>
      <c r="F33" s="14">
        <v>21.402011011515899</v>
      </c>
      <c r="G33" s="14">
        <v>21.4016932835133</v>
      </c>
      <c r="H33" s="1" t="s">
        <v>40</v>
      </c>
      <c r="J33" s="7">
        <f t="shared" si="11"/>
        <v>3.0803661809741811E-4</v>
      </c>
      <c r="K33" s="7">
        <f t="shared" si="11"/>
        <v>-2.482965411179805E-2</v>
      </c>
      <c r="L33" s="7">
        <f t="shared" si="11"/>
        <v>1.7930878348497714E-2</v>
      </c>
      <c r="M33" s="7">
        <f t="shared" si="11"/>
        <v>-7.7468625979904004E-4</v>
      </c>
      <c r="N33" s="7">
        <f t="shared" si="11"/>
        <v>-3.1772800259943779E-4</v>
      </c>
      <c r="O33" s="1" t="s">
        <v>40</v>
      </c>
      <c r="Q33" s="22">
        <f t="shared" si="12"/>
        <v>1.4387930400728662E-5</v>
      </c>
      <c r="R33" s="22">
        <f t="shared" si="12"/>
        <v>-1.159739376004626E-3</v>
      </c>
      <c r="S33" s="22">
        <f t="shared" si="12"/>
        <v>8.3848492308717009E-4</v>
      </c>
      <c r="T33" s="22">
        <f t="shared" si="12"/>
        <v>-3.6195580834113101E-5</v>
      </c>
      <c r="U33" s="22">
        <f t="shared" si="12"/>
        <v>-1.484570783691664E-5</v>
      </c>
      <c r="V33" s="1" t="s">
        <v>40</v>
      </c>
      <c r="X33" s="6">
        <f t="shared" si="13"/>
        <v>3.0803661809741811E-4</v>
      </c>
      <c r="Y33" s="6">
        <f t="shared" si="13"/>
        <v>-2.4521617493700631E-2</v>
      </c>
      <c r="Z33" s="6">
        <f t="shared" si="13"/>
        <v>-6.5907391452029174E-3</v>
      </c>
      <c r="AA33" s="6">
        <f t="shared" si="13"/>
        <v>-7.3654254050019574E-3</v>
      </c>
      <c r="AB33" s="6">
        <f t="shared" si="13"/>
        <v>-7.6831534076013952E-3</v>
      </c>
      <c r="AC33" s="1" t="s">
        <v>40</v>
      </c>
      <c r="AE33" s="22">
        <f t="shared" si="4"/>
        <v>1.4387930400728662E-5</v>
      </c>
      <c r="AF33" s="22">
        <f t="shared" si="14"/>
        <v>-1.1453681318533224E-3</v>
      </c>
      <c r="AG33" s="22">
        <f t="shared" si="15"/>
        <v>-3.0784358267609582E-4</v>
      </c>
      <c r="AH33" s="22">
        <f t="shared" si="16"/>
        <v>-3.4402802093292794E-4</v>
      </c>
      <c r="AI33" s="22">
        <f t="shared" si="16"/>
        <v>-3.5886862143035805E-4</v>
      </c>
      <c r="AJ33" s="1" t="s">
        <v>40</v>
      </c>
    </row>
    <row r="34" spans="1:36" x14ac:dyDescent="0.25">
      <c r="A34" s="2">
        <v>60</v>
      </c>
      <c r="B34" s="6">
        <v>17.256013741520398</v>
      </c>
      <c r="C34" s="14">
        <v>17.259236466965199</v>
      </c>
      <c r="D34" s="14">
        <v>17.233545784632799</v>
      </c>
      <c r="E34" s="14">
        <v>17.2596089686431</v>
      </c>
      <c r="F34" s="14">
        <v>17.253882011881</v>
      </c>
      <c r="G34" s="14">
        <v>17.2531701822152</v>
      </c>
      <c r="H34" s="1" t="s">
        <v>40</v>
      </c>
      <c r="J34" s="7">
        <f t="shared" si="11"/>
        <v>3.2227254448002896E-3</v>
      </c>
      <c r="K34" s="7">
        <f t="shared" si="11"/>
        <v>-2.5690682332399462E-2</v>
      </c>
      <c r="L34" s="7">
        <f t="shared" si="11"/>
        <v>2.6063184010300944E-2</v>
      </c>
      <c r="M34" s="7">
        <f t="shared" si="11"/>
        <v>-5.7269567620998885E-3</v>
      </c>
      <c r="N34" s="7">
        <f t="shared" si="11"/>
        <v>-7.1182966579996787E-4</v>
      </c>
      <c r="O34" s="1" t="s">
        <v>40</v>
      </c>
      <c r="Q34" s="22">
        <f t="shared" si="12"/>
        <v>1.8675955484701305E-4</v>
      </c>
      <c r="R34" s="22">
        <f t="shared" si="12"/>
        <v>-1.4885178948427038E-3</v>
      </c>
      <c r="S34" s="22">
        <f t="shared" si="12"/>
        <v>1.5123518013072828E-3</v>
      </c>
      <c r="T34" s="22">
        <f t="shared" si="12"/>
        <v>-3.3181265997998593E-4</v>
      </c>
      <c r="U34" s="22">
        <f t="shared" si="12"/>
        <v>-4.1256203404532549E-5</v>
      </c>
      <c r="V34" s="1" t="s">
        <v>40</v>
      </c>
      <c r="X34" s="6">
        <f t="shared" si="13"/>
        <v>3.2227254448002896E-3</v>
      </c>
      <c r="Y34" s="6">
        <f t="shared" si="13"/>
        <v>-2.2467956887599172E-2</v>
      </c>
      <c r="Z34" s="6">
        <f t="shared" si="13"/>
        <v>3.5952271227017718E-3</v>
      </c>
      <c r="AA34" s="6">
        <f t="shared" si="13"/>
        <v>-2.1317296393981167E-3</v>
      </c>
      <c r="AB34" s="6">
        <f t="shared" si="13"/>
        <v>-2.8435593051980845E-3</v>
      </c>
      <c r="AC34" s="1" t="s">
        <v>40</v>
      </c>
      <c r="AE34" s="22">
        <f t="shared" si="4"/>
        <v>1.8675955484701305E-4</v>
      </c>
      <c r="AF34" s="22">
        <f t="shared" si="14"/>
        <v>-1.3020363349351134E-3</v>
      </c>
      <c r="AG34" s="22">
        <f t="shared" si="15"/>
        <v>2.0834632937566277E-4</v>
      </c>
      <c r="AH34" s="22">
        <f t="shared" si="16"/>
        <v>-1.2353546255407035E-4</v>
      </c>
      <c r="AI34" s="22">
        <f t="shared" si="16"/>
        <v>-1.6478656935443211E-4</v>
      </c>
      <c r="AJ34" s="1" t="s">
        <v>40</v>
      </c>
    </row>
    <row r="35" spans="1:36" x14ac:dyDescent="0.25">
      <c r="A35" s="2">
        <v>70</v>
      </c>
      <c r="B35" s="6">
        <v>12.4323287255712</v>
      </c>
      <c r="C35" s="14">
        <v>12.4428192851266</v>
      </c>
      <c r="D35" s="14">
        <v>12.4234590333031</v>
      </c>
      <c r="E35" s="14">
        <v>12.460909327194701</v>
      </c>
      <c r="F35" s="14">
        <v>12.445255769382699</v>
      </c>
      <c r="G35" s="14">
        <v>12.440204963923501</v>
      </c>
      <c r="H35" s="1" t="s">
        <v>40</v>
      </c>
      <c r="J35" s="7">
        <f t="shared" si="11"/>
        <v>1.0490559555400125E-2</v>
      </c>
      <c r="K35" s="7">
        <f t="shared" si="11"/>
        <v>-1.9360251823499652E-2</v>
      </c>
      <c r="L35" s="7">
        <f t="shared" si="11"/>
        <v>3.7450293891600595E-2</v>
      </c>
      <c r="M35" s="7">
        <f t="shared" si="11"/>
        <v>-1.5653557812001395E-2</v>
      </c>
      <c r="N35" s="7">
        <f t="shared" si="11"/>
        <v>-5.0508054591986706E-3</v>
      </c>
      <c r="O35" s="1" t="s">
        <v>40</v>
      </c>
      <c r="Q35" s="22">
        <f t="shared" si="12"/>
        <v>8.4381291606477687E-4</v>
      </c>
      <c r="R35" s="22">
        <f t="shared" si="12"/>
        <v>-1.5559377163535386E-3</v>
      </c>
      <c r="S35" s="22">
        <f t="shared" si="12"/>
        <v>3.0144820207648288E-3</v>
      </c>
      <c r="T35" s="22">
        <f t="shared" si="12"/>
        <v>-1.2562131222509626E-3</v>
      </c>
      <c r="U35" s="22">
        <f t="shared" si="12"/>
        <v>-4.0584183666393198E-4</v>
      </c>
      <c r="V35" s="1" t="s">
        <v>40</v>
      </c>
      <c r="X35" s="6">
        <f t="shared" si="13"/>
        <v>1.0490559555400125E-2</v>
      </c>
      <c r="Y35" s="6">
        <f t="shared" si="13"/>
        <v>-8.8696922680995272E-3</v>
      </c>
      <c r="Z35" s="6">
        <f t="shared" si="13"/>
        <v>2.8580601623501067E-2</v>
      </c>
      <c r="AA35" s="6">
        <f t="shared" si="13"/>
        <v>1.2927043811499672E-2</v>
      </c>
      <c r="AB35" s="6">
        <f t="shared" si="13"/>
        <v>7.8762383523010016E-3</v>
      </c>
      <c r="AC35" s="1" t="s">
        <v>40</v>
      </c>
      <c r="AE35" s="22">
        <f t="shared" si="4"/>
        <v>8.4381291606477687E-4</v>
      </c>
      <c r="AF35" s="22">
        <f t="shared" si="14"/>
        <v>-7.1343772063041323E-4</v>
      </c>
      <c r="AG35" s="22">
        <f t="shared" si="15"/>
        <v>2.2988936549526396E-3</v>
      </c>
      <c r="AH35" s="22">
        <f t="shared" si="16"/>
        <v>1.0397926323256661E-3</v>
      </c>
      <c r="AI35" s="22">
        <f t="shared" si="16"/>
        <v>6.3352880431008149E-4</v>
      </c>
      <c r="AJ35" s="1" t="s">
        <v>40</v>
      </c>
    </row>
    <row r="36" spans="1:36" x14ac:dyDescent="0.25">
      <c r="A36" s="2">
        <v>80</v>
      </c>
      <c r="B36" s="6">
        <v>7.4794286446513096</v>
      </c>
      <c r="C36" s="14">
        <v>7.4947144776339902</v>
      </c>
      <c r="D36" s="14">
        <v>7.4837497565269802</v>
      </c>
      <c r="E36" s="14">
        <v>7.4589505604840198</v>
      </c>
      <c r="F36" s="14">
        <v>7.4428020094890401</v>
      </c>
      <c r="G36" s="14">
        <v>7.4398543432498299</v>
      </c>
      <c r="H36" s="1" t="s">
        <v>40</v>
      </c>
      <c r="J36" s="7">
        <f t="shared" si="11"/>
        <v>1.5285832982680603E-2</v>
      </c>
      <c r="K36" s="7">
        <f t="shared" si="11"/>
        <v>-1.0964721107010078E-2</v>
      </c>
      <c r="L36" s="7">
        <f t="shared" si="11"/>
        <v>-2.4799196042960325E-2</v>
      </c>
      <c r="M36" s="7">
        <f t="shared" si="11"/>
        <v>-1.6148550994979693E-2</v>
      </c>
      <c r="N36" s="7">
        <f t="shared" si="11"/>
        <v>-2.9476662392102781E-3</v>
      </c>
      <c r="O36" s="1" t="s">
        <v>40</v>
      </c>
      <c r="Q36" s="22">
        <f t="shared" si="12"/>
        <v>2.0437166672633224E-3</v>
      </c>
      <c r="R36" s="22">
        <f t="shared" si="12"/>
        <v>-1.4629938391557693E-3</v>
      </c>
      <c r="S36" s="22">
        <f t="shared" si="12"/>
        <v>-3.3137393485574013E-3</v>
      </c>
      <c r="T36" s="22">
        <f t="shared" si="12"/>
        <v>-2.1649896810593413E-3</v>
      </c>
      <c r="U36" s="22">
        <f t="shared" si="12"/>
        <v>-3.960425435813306E-4</v>
      </c>
      <c r="V36" s="1" t="s">
        <v>40</v>
      </c>
      <c r="X36" s="6">
        <f t="shared" si="13"/>
        <v>1.5285832982680603E-2</v>
      </c>
      <c r="Y36" s="6">
        <f t="shared" si="13"/>
        <v>4.3211118756705247E-3</v>
      </c>
      <c r="Z36" s="6">
        <f t="shared" si="13"/>
        <v>-2.0478084167289801E-2</v>
      </c>
      <c r="AA36" s="6">
        <f t="shared" si="13"/>
        <v>-3.6626635162269494E-2</v>
      </c>
      <c r="AB36" s="6">
        <f t="shared" si="13"/>
        <v>-3.9574301401479772E-2</v>
      </c>
      <c r="AC36" s="1" t="s">
        <v>40</v>
      </c>
      <c r="AE36" s="22">
        <f t="shared" si="4"/>
        <v>2.0437166672633224E-3</v>
      </c>
      <c r="AF36" s="22">
        <f t="shared" si="14"/>
        <v>5.7773288321436673E-4</v>
      </c>
      <c r="AG36" s="22">
        <f t="shared" si="15"/>
        <v>-2.7379209215310975E-3</v>
      </c>
      <c r="AH36" s="22">
        <f t="shared" si="16"/>
        <v>-4.8969830320477678E-3</v>
      </c>
      <c r="AI36" s="22">
        <f t="shared" si="16"/>
        <v>-5.2910861620132114E-3</v>
      </c>
      <c r="AJ36" s="1" t="s">
        <v>40</v>
      </c>
    </row>
    <row r="37" spans="1:36" x14ac:dyDescent="0.25">
      <c r="A37" s="2">
        <v>90</v>
      </c>
      <c r="B37" s="6">
        <v>3.6942131326127199</v>
      </c>
      <c r="C37" s="14">
        <v>3.7432635802844998</v>
      </c>
      <c r="D37" s="14">
        <v>3.7399914007545001</v>
      </c>
      <c r="E37" s="14">
        <v>3.6502752185088401</v>
      </c>
      <c r="F37" s="14">
        <v>3.6075564541422001</v>
      </c>
      <c r="G37" s="14">
        <v>3.5932451371263099</v>
      </c>
      <c r="H37" s="1" t="s">
        <v>40</v>
      </c>
      <c r="J37" s="7">
        <f t="shared" si="11"/>
        <v>4.9050447671779906E-2</v>
      </c>
      <c r="K37" s="7">
        <f t="shared" si="11"/>
        <v>-3.272179529999697E-3</v>
      </c>
      <c r="L37" s="7">
        <f t="shared" si="11"/>
        <v>-8.9716182245660026E-2</v>
      </c>
      <c r="M37" s="7">
        <f t="shared" si="11"/>
        <v>-4.2718764366640016E-2</v>
      </c>
      <c r="N37" s="7">
        <f t="shared" si="11"/>
        <v>-1.4311317015890168E-2</v>
      </c>
      <c r="O37" s="1" t="s">
        <v>40</v>
      </c>
      <c r="Q37" s="22">
        <f t="shared" si="12"/>
        <v>1.3277644226522778E-2</v>
      </c>
      <c r="R37" s="22">
        <f t="shared" si="12"/>
        <v>-8.7415151506670043E-4</v>
      </c>
      <c r="S37" s="22">
        <f t="shared" si="12"/>
        <v>-2.3988339178416512E-2</v>
      </c>
      <c r="T37" s="22">
        <f t="shared" si="12"/>
        <v>-1.1702888634268759E-2</v>
      </c>
      <c r="U37" s="22">
        <f t="shared" si="12"/>
        <v>-3.9670389633010179E-3</v>
      </c>
      <c r="V37" s="1" t="s">
        <v>40</v>
      </c>
      <c r="X37" s="6">
        <f t="shared" si="13"/>
        <v>4.9050447671779906E-2</v>
      </c>
      <c r="Y37" s="6">
        <f t="shared" si="13"/>
        <v>4.577826814178021E-2</v>
      </c>
      <c r="Z37" s="6">
        <f t="shared" si="13"/>
        <v>-4.3937914103879816E-2</v>
      </c>
      <c r="AA37" s="6">
        <f t="shared" si="13"/>
        <v>-8.6656678470519832E-2</v>
      </c>
      <c r="AB37" s="6">
        <f t="shared" si="13"/>
        <v>-0.10096799548641</v>
      </c>
      <c r="AC37" s="1" t="s">
        <v>40</v>
      </c>
      <c r="AE37" s="22">
        <f t="shared" si="4"/>
        <v>1.3277644226522778E-2</v>
      </c>
      <c r="AF37" s="22">
        <f t="shared" si="14"/>
        <v>1.2391886038638946E-2</v>
      </c>
      <c r="AG37" s="22">
        <f t="shared" si="15"/>
        <v>-1.1893713905132721E-2</v>
      </c>
      <c r="AH37" s="22">
        <f t="shared" si="16"/>
        <v>-2.345741173012186E-2</v>
      </c>
      <c r="AI37" s="22">
        <f t="shared" si="16"/>
        <v>-2.733139422711129E-2</v>
      </c>
      <c r="AJ37" s="1" t="s">
        <v>40</v>
      </c>
    </row>
    <row r="38" spans="1:36" x14ac:dyDescent="0.25">
      <c r="B38" s="3"/>
      <c r="C38" s="15"/>
      <c r="D38" s="20"/>
      <c r="E38" s="20"/>
      <c r="F38" s="20"/>
      <c r="G38" s="20"/>
      <c r="H38" s="1" t="s">
        <v>40</v>
      </c>
      <c r="J38" s="3"/>
      <c r="K38" s="3"/>
      <c r="L38" s="3"/>
      <c r="M38" s="3"/>
      <c r="N38" s="3"/>
      <c r="O38" s="1" t="s">
        <v>40</v>
      </c>
      <c r="Q38" s="9"/>
      <c r="R38" s="9"/>
      <c r="S38" s="9"/>
      <c r="T38" s="23"/>
      <c r="U38" s="23"/>
      <c r="V38" s="1" t="s">
        <v>40</v>
      </c>
      <c r="X38" s="3"/>
      <c r="Y38" s="3"/>
      <c r="Z38" s="3"/>
      <c r="AA38" s="3"/>
      <c r="AB38" s="3"/>
      <c r="AC38" s="1" t="s">
        <v>40</v>
      </c>
      <c r="AE38" s="9"/>
      <c r="AF38" s="9"/>
      <c r="AG38" s="9"/>
      <c r="AH38" s="9"/>
      <c r="AI38" s="9"/>
      <c r="AJ38" s="1" t="s">
        <v>40</v>
      </c>
    </row>
    <row r="39" spans="1:36" x14ac:dyDescent="0.25">
      <c r="A39" s="5" t="s">
        <v>22</v>
      </c>
      <c r="B39" s="3"/>
      <c r="C39" s="15"/>
      <c r="D39" s="20"/>
      <c r="E39" s="20"/>
      <c r="F39" s="20"/>
      <c r="G39" s="20"/>
      <c r="H39" s="1" t="s">
        <v>40</v>
      </c>
      <c r="J39" s="3"/>
      <c r="K39" s="3"/>
      <c r="L39" s="3"/>
      <c r="M39" s="3"/>
      <c r="N39" s="3"/>
      <c r="O39" s="1" t="s">
        <v>40</v>
      </c>
      <c r="Q39" s="9"/>
      <c r="R39" s="9"/>
      <c r="S39" s="9"/>
      <c r="T39" s="23"/>
      <c r="U39" s="23"/>
      <c r="V39" s="1" t="s">
        <v>40</v>
      </c>
      <c r="X39" s="3"/>
      <c r="Y39" s="3"/>
      <c r="Z39" s="3"/>
      <c r="AA39" s="3"/>
      <c r="AB39" s="3"/>
      <c r="AC39" s="1" t="s">
        <v>40</v>
      </c>
      <c r="AE39" s="9"/>
      <c r="AF39" s="9"/>
      <c r="AG39" s="9"/>
      <c r="AH39" s="9"/>
      <c r="AI39" s="9"/>
      <c r="AJ39" s="1" t="s">
        <v>40</v>
      </c>
    </row>
    <row r="40" spans="1:36" x14ac:dyDescent="0.25">
      <c r="A40" s="1" t="s">
        <v>2</v>
      </c>
      <c r="B40" s="3"/>
      <c r="C40" s="15"/>
      <c r="D40" s="20"/>
      <c r="E40" s="20"/>
      <c r="F40" s="20"/>
      <c r="G40" s="20"/>
      <c r="H40" s="1" t="s">
        <v>40</v>
      </c>
      <c r="J40" s="3"/>
      <c r="K40" s="3"/>
      <c r="L40" s="3"/>
      <c r="M40" s="3"/>
      <c r="N40" s="3"/>
      <c r="O40" s="1" t="s">
        <v>40</v>
      </c>
      <c r="Q40" s="9"/>
      <c r="R40" s="9"/>
      <c r="S40" s="9"/>
      <c r="T40" s="23"/>
      <c r="U40" s="23"/>
      <c r="V40" s="1" t="s">
        <v>40</v>
      </c>
      <c r="X40" s="3"/>
      <c r="Y40" s="3"/>
      <c r="Z40" s="3"/>
      <c r="AA40" s="3"/>
      <c r="AB40" s="3"/>
      <c r="AC40" s="1" t="s">
        <v>40</v>
      </c>
      <c r="AE40" s="9"/>
      <c r="AF40" s="9"/>
      <c r="AG40" s="9"/>
      <c r="AH40" s="9"/>
      <c r="AI40" s="9"/>
      <c r="AJ40" s="1" t="s">
        <v>40</v>
      </c>
    </row>
    <row r="41" spans="1:36" x14ac:dyDescent="0.25">
      <c r="A41" s="2" t="s">
        <v>20</v>
      </c>
      <c r="B41" s="3" t="str" cm="1">
        <f t="array" ref="B41:G41">_xlfn.ANCHORARRAY(B10)</f>
        <v>0. AG2024</v>
      </c>
      <c r="C41" s="15" t="str">
        <v>1. AG2024 PreCovid</v>
      </c>
      <c r="D41" s="20" t="str">
        <v>2. Update PreCovid HMD-sterftedate</v>
      </c>
      <c r="E41" s="20" t="str">
        <v>3. Modelwijziging startpunt prognose</v>
      </c>
      <c r="F41" s="20" t="str">
        <v>4. Vernieuwde oversterfteparameters obv 2022/2023</v>
      </c>
      <c r="G41" s="20" t="str">
        <v>5. Kalibratieperiode 2022-2025</v>
      </c>
      <c r="H41" s="1" t="s">
        <v>40</v>
      </c>
      <c r="I41" s="1" t="str" cm="1">
        <f t="array" ref="I41:N41">_xlfn.ANCHORARRAY(B10)</f>
        <v>0. AG2024</v>
      </c>
      <c r="J41" s="3" t="str">
        <v>1. AG2024 PreCovid</v>
      </c>
      <c r="K41" s="3" t="str">
        <v>2. Update PreCovid HMD-sterftedate</v>
      </c>
      <c r="L41" s="3" t="str">
        <v>3. Modelwijziging startpunt prognose</v>
      </c>
      <c r="M41" s="3" t="str">
        <v>4. Vernieuwde oversterfteparameters obv 2022/2023</v>
      </c>
      <c r="N41" s="3" t="str">
        <v>5. Kalibratieperiode 2022-2025</v>
      </c>
      <c r="O41" s="1" t="s">
        <v>40</v>
      </c>
      <c r="P41" s="4" t="str" cm="1">
        <f t="array" ref="P41:U41">_xlfn.ANCHORARRAY(B10)</f>
        <v>0. AG2024</v>
      </c>
      <c r="Q41" s="9" t="str">
        <v>1. AG2024 PreCovid</v>
      </c>
      <c r="R41" s="9" t="str">
        <v>2. Update PreCovid HMD-sterftedate</v>
      </c>
      <c r="S41" s="9" t="str">
        <v>3. Modelwijziging startpunt prognose</v>
      </c>
      <c r="T41" s="23" t="str">
        <v>4. Vernieuwde oversterfteparameters obv 2022/2023</v>
      </c>
      <c r="U41" s="23" t="str">
        <v>5. Kalibratieperiode 2022-2025</v>
      </c>
      <c r="V41" s="1" t="s">
        <v>40</v>
      </c>
      <c r="W41" s="1" t="str" cm="1">
        <f t="array" ref="W41:AB41">_xlfn.ANCHORARRAY($B$10)</f>
        <v>0. AG2024</v>
      </c>
      <c r="X41" s="3" t="str">
        <v>1. AG2024 PreCovid</v>
      </c>
      <c r="Y41" s="3" t="str">
        <v>2. Update PreCovid HMD-sterftedate</v>
      </c>
      <c r="Z41" s="3" t="str">
        <v>3. Modelwijziging startpunt prognose</v>
      </c>
      <c r="AA41" s="3" t="str">
        <v>4. Vernieuwde oversterfteparameters obv 2022/2023</v>
      </c>
      <c r="AB41" s="3" t="str">
        <v>5. Kalibratieperiode 2022-2025</v>
      </c>
      <c r="AC41" s="1" t="s">
        <v>40</v>
      </c>
      <c r="AD41" s="1" t="str" cm="1">
        <f t="array" ref="AD41:AI41">_xlfn.ANCHORARRAY($B$10)</f>
        <v>0. AG2024</v>
      </c>
      <c r="AE41" s="9" t="str">
        <v>1. AG2024 PreCovid</v>
      </c>
      <c r="AF41" s="9" t="str">
        <v>2. Update PreCovid HMD-sterftedate</v>
      </c>
      <c r="AG41" s="9" t="str">
        <v>3. Modelwijziging startpunt prognose</v>
      </c>
      <c r="AH41" s="9" t="str">
        <v>4. Vernieuwde oversterfteparameters obv 2022/2023</v>
      </c>
      <c r="AI41" s="9" t="str">
        <v>5. Kalibratieperiode 2022-2025</v>
      </c>
      <c r="AJ41" s="1" t="s">
        <v>40</v>
      </c>
    </row>
    <row r="42" spans="1:36" x14ac:dyDescent="0.25">
      <c r="A42" s="2">
        <v>30</v>
      </c>
      <c r="B42" s="6">
        <v>6.1688486062635199</v>
      </c>
      <c r="C42" s="14">
        <v>6.1688487226516697</v>
      </c>
      <c r="D42" s="14">
        <v>6.1540268834892098</v>
      </c>
      <c r="E42" s="14">
        <v>6.1554275470078004</v>
      </c>
      <c r="F42" s="14">
        <v>6.1554274771819903</v>
      </c>
      <c r="G42" s="14">
        <v>6.1554282119200803</v>
      </c>
      <c r="H42" s="1" t="s">
        <v>40</v>
      </c>
      <c r="J42" s="8">
        <f t="shared" ref="J42:N48" si="17">C42-B42</f>
        <v>1.1638814978454093E-7</v>
      </c>
      <c r="K42" s="8">
        <f t="shared" si="17"/>
        <v>-1.4821839162459938E-2</v>
      </c>
      <c r="L42" s="8">
        <f t="shared" si="17"/>
        <v>1.4006635185905836E-3</v>
      </c>
      <c r="M42" s="8">
        <f t="shared" si="17"/>
        <v>-6.9825810022905443E-8</v>
      </c>
      <c r="N42" s="8">
        <f t="shared" si="17"/>
        <v>7.3473808992474687E-7</v>
      </c>
      <c r="O42" s="1" t="s">
        <v>40</v>
      </c>
      <c r="Q42" s="22">
        <f t="shared" ref="Q42:U48" si="18">J42/B42</f>
        <v>1.8867078317721497E-8</v>
      </c>
      <c r="R42" s="22">
        <f t="shared" si="18"/>
        <v>-2.4026913008962222E-3</v>
      </c>
      <c r="S42" s="22">
        <f t="shared" si="18"/>
        <v>2.2760113745171607E-4</v>
      </c>
      <c r="T42" s="22">
        <f t="shared" si="18"/>
        <v>-1.1343779045348084E-8</v>
      </c>
      <c r="U42" s="22">
        <f t="shared" si="18"/>
        <v>1.1936426716883627E-7</v>
      </c>
      <c r="V42" s="1" t="s">
        <v>40</v>
      </c>
      <c r="X42" s="6">
        <f t="shared" ref="X42:AB48" si="19">C42-$B42</f>
        <v>1.1638814978454093E-7</v>
      </c>
      <c r="Y42" s="6">
        <f t="shared" si="19"/>
        <v>-1.4821722774310153E-2</v>
      </c>
      <c r="Z42" s="6">
        <f t="shared" si="19"/>
        <v>-1.342105925571957E-2</v>
      </c>
      <c r="AA42" s="6">
        <f t="shared" si="19"/>
        <v>-1.3421129081529592E-2</v>
      </c>
      <c r="AB42" s="6">
        <f t="shared" si="19"/>
        <v>-1.3420394343439668E-2</v>
      </c>
      <c r="AC42" s="1" t="s">
        <v>40</v>
      </c>
      <c r="AE42" s="22">
        <f t="shared" si="4"/>
        <v>1.8867078317721497E-8</v>
      </c>
      <c r="AF42" s="22">
        <f t="shared" ref="AF42:AF48" si="20">Y42/$B42</f>
        <v>-2.4026724791496694E-3</v>
      </c>
      <c r="AG42" s="22">
        <f t="shared" ref="AG42:AG48" si="21">Z42/$B42</f>
        <v>-2.1756181926871317E-3</v>
      </c>
      <c r="AH42" s="22">
        <f t="shared" ref="AH42:AI48" si="22">AA42/$B42</f>
        <v>-2.1756295117864449E-3</v>
      </c>
      <c r="AI42" s="22">
        <f t="shared" si="22"/>
        <v>-2.1755104072116982E-3</v>
      </c>
      <c r="AJ42" s="1" t="s">
        <v>40</v>
      </c>
    </row>
    <row r="43" spans="1:36" x14ac:dyDescent="0.25">
      <c r="A43" s="2">
        <v>40</v>
      </c>
      <c r="B43" s="6">
        <v>8.05189971500862</v>
      </c>
      <c r="C43" s="14">
        <v>8.0519030305088695</v>
      </c>
      <c r="D43" s="14">
        <v>8.0328996537762407</v>
      </c>
      <c r="E43" s="14">
        <v>8.0401034229642097</v>
      </c>
      <c r="F43" s="14">
        <v>8.04010140421844</v>
      </c>
      <c r="G43" s="14">
        <v>8.0401209798495401</v>
      </c>
      <c r="H43" s="1" t="s">
        <v>40</v>
      </c>
      <c r="J43" s="8">
        <f t="shared" si="17"/>
        <v>3.3155002494567043E-6</v>
      </c>
      <c r="K43" s="8">
        <f t="shared" si="17"/>
        <v>-1.9003376732628752E-2</v>
      </c>
      <c r="L43" s="8">
        <f t="shared" si="17"/>
        <v>7.2037691879689447E-3</v>
      </c>
      <c r="M43" s="8">
        <f t="shared" si="17"/>
        <v>-2.018745769660768E-6</v>
      </c>
      <c r="N43" s="8">
        <f t="shared" si="17"/>
        <v>1.9575631100110513E-5</v>
      </c>
      <c r="O43" s="1" t="s">
        <v>40</v>
      </c>
      <c r="Q43" s="22">
        <f t="shared" si="18"/>
        <v>4.1176621254691754E-7</v>
      </c>
      <c r="R43" s="22">
        <f t="shared" si="18"/>
        <v>-2.3601099840155136E-3</v>
      </c>
      <c r="S43" s="22">
        <f t="shared" si="18"/>
        <v>8.9678316653469907E-4</v>
      </c>
      <c r="T43" s="22">
        <f t="shared" si="18"/>
        <v>-2.5108455245672709E-7</v>
      </c>
      <c r="U43" s="22">
        <f t="shared" si="18"/>
        <v>2.4347492793859128E-6</v>
      </c>
      <c r="V43" s="1" t="s">
        <v>40</v>
      </c>
      <c r="X43" s="6">
        <f t="shared" si="19"/>
        <v>3.3155002494567043E-6</v>
      </c>
      <c r="Y43" s="6">
        <f t="shared" si="19"/>
        <v>-1.9000061232379295E-2</v>
      </c>
      <c r="Z43" s="6">
        <f t="shared" si="19"/>
        <v>-1.179629204441035E-2</v>
      </c>
      <c r="AA43" s="6">
        <f t="shared" si="19"/>
        <v>-1.1798310790180011E-2</v>
      </c>
      <c r="AB43" s="6">
        <f t="shared" si="19"/>
        <v>-1.1778735159079901E-2</v>
      </c>
      <c r="AC43" s="1" t="s">
        <v>40</v>
      </c>
      <c r="AE43" s="22">
        <f t="shared" si="4"/>
        <v>4.1176621254691754E-7</v>
      </c>
      <c r="AF43" s="22">
        <f t="shared" si="20"/>
        <v>-2.3596991896165159E-3</v>
      </c>
      <c r="AG43" s="22">
        <f t="shared" si="21"/>
        <v>-1.4650321615931503E-3</v>
      </c>
      <c r="AH43" s="22">
        <f t="shared" si="22"/>
        <v>-1.4652828782986626E-3</v>
      </c>
      <c r="AI43" s="22">
        <f t="shared" si="22"/>
        <v>-1.4628516966157087E-3</v>
      </c>
      <c r="AJ43" s="1" t="s">
        <v>40</v>
      </c>
    </row>
    <row r="44" spans="1:36" x14ac:dyDescent="0.25">
      <c r="A44" s="2">
        <v>50</v>
      </c>
      <c r="B44" s="6">
        <v>10.5571013353411</v>
      </c>
      <c r="C44" s="14">
        <v>10.557196122412099</v>
      </c>
      <c r="D44" s="14">
        <v>10.534237304230601</v>
      </c>
      <c r="E44" s="14">
        <v>10.538401610860101</v>
      </c>
      <c r="F44" s="14">
        <v>10.5383423568741</v>
      </c>
      <c r="G44" s="14">
        <v>10.538859599862301</v>
      </c>
      <c r="H44" s="1" t="s">
        <v>40</v>
      </c>
      <c r="J44" s="8">
        <f t="shared" si="17"/>
        <v>9.4787070999302614E-5</v>
      </c>
      <c r="K44" s="8">
        <f t="shared" si="17"/>
        <v>-2.2958818181498586E-2</v>
      </c>
      <c r="L44" s="8">
        <f t="shared" si="17"/>
        <v>4.1643066294998476E-3</v>
      </c>
      <c r="M44" s="8">
        <f t="shared" si="17"/>
        <v>-5.9253986000484815E-5</v>
      </c>
      <c r="N44" s="8">
        <f t="shared" si="17"/>
        <v>5.1724298820055026E-4</v>
      </c>
      <c r="O44" s="1" t="s">
        <v>40</v>
      </c>
      <c r="Q44" s="22">
        <f t="shared" si="18"/>
        <v>8.9785129448357285E-6</v>
      </c>
      <c r="R44" s="22">
        <f t="shared" si="18"/>
        <v>-2.1747079352593267E-3</v>
      </c>
      <c r="S44" s="22">
        <f t="shared" si="18"/>
        <v>3.9531164043812096E-4</v>
      </c>
      <c r="T44" s="22">
        <f t="shared" si="18"/>
        <v>-5.6226729810165922E-6</v>
      </c>
      <c r="U44" s="22">
        <f t="shared" si="18"/>
        <v>4.9082006513401569E-5</v>
      </c>
      <c r="V44" s="1" t="s">
        <v>40</v>
      </c>
      <c r="X44" s="6">
        <f t="shared" si="19"/>
        <v>9.4787070999302614E-5</v>
      </c>
      <c r="Y44" s="6">
        <f t="shared" si="19"/>
        <v>-2.2864031110499283E-2</v>
      </c>
      <c r="Z44" s="6">
        <f t="shared" si="19"/>
        <v>-1.8699724480999436E-2</v>
      </c>
      <c r="AA44" s="6">
        <f t="shared" si="19"/>
        <v>-1.875897846699992E-2</v>
      </c>
      <c r="AB44" s="6">
        <f t="shared" si="19"/>
        <v>-1.824173547879937E-2</v>
      </c>
      <c r="AC44" s="1" t="s">
        <v>40</v>
      </c>
      <c r="AE44" s="22">
        <f t="shared" si="4"/>
        <v>8.9785129448357285E-6</v>
      </c>
      <c r="AF44" s="22">
        <f t="shared" si="20"/>
        <v>-2.1657489479578389E-3</v>
      </c>
      <c r="AG44" s="22">
        <f t="shared" si="21"/>
        <v>-1.7712934532891124E-3</v>
      </c>
      <c r="AH44" s="22">
        <f t="shared" si="22"/>
        <v>-1.7769061668662877E-3</v>
      </c>
      <c r="AI44" s="22">
        <f t="shared" si="22"/>
        <v>-1.727911374472942E-3</v>
      </c>
      <c r="AJ44" s="1" t="s">
        <v>40</v>
      </c>
    </row>
    <row r="45" spans="1:36" x14ac:dyDescent="0.25">
      <c r="A45" s="2">
        <v>60</v>
      </c>
      <c r="B45" s="6">
        <v>14.0693080504116</v>
      </c>
      <c r="C45" s="14">
        <v>14.0751158398212</v>
      </c>
      <c r="D45" s="14">
        <v>14.049585115837999</v>
      </c>
      <c r="E45" s="14">
        <v>14.0330012503837</v>
      </c>
      <c r="F45" s="14">
        <v>14.0293827866189</v>
      </c>
      <c r="G45" s="14">
        <v>14.026678055448301</v>
      </c>
      <c r="H45" s="1" t="s">
        <v>40</v>
      </c>
      <c r="J45" s="8">
        <f t="shared" si="17"/>
        <v>5.8077894095998062E-3</v>
      </c>
      <c r="K45" s="8">
        <f t="shared" si="17"/>
        <v>-2.5530723983200332E-2</v>
      </c>
      <c r="L45" s="8">
        <f t="shared" si="17"/>
        <v>-1.6583865454299129E-2</v>
      </c>
      <c r="M45" s="8">
        <f t="shared" si="17"/>
        <v>-3.6184637648002393E-3</v>
      </c>
      <c r="N45" s="8">
        <f t="shared" si="17"/>
        <v>-2.7047311705992172E-3</v>
      </c>
      <c r="O45" s="1" t="s">
        <v>40</v>
      </c>
      <c r="Q45" s="22">
        <f t="shared" si="18"/>
        <v>4.1279851068652223E-4</v>
      </c>
      <c r="R45" s="22">
        <f t="shared" si="18"/>
        <v>-1.8138908605618025E-3</v>
      </c>
      <c r="S45" s="22">
        <f t="shared" si="18"/>
        <v>-1.1803811512985001E-3</v>
      </c>
      <c r="T45" s="22">
        <f t="shared" si="18"/>
        <v>-2.578538760339169E-4</v>
      </c>
      <c r="U45" s="22">
        <f t="shared" si="18"/>
        <v>-1.9279046068790466E-4</v>
      </c>
      <c r="V45" s="1" t="s">
        <v>40</v>
      </c>
      <c r="X45" s="6">
        <f t="shared" si="19"/>
        <v>5.8077894095998062E-3</v>
      </c>
      <c r="Y45" s="6">
        <f t="shared" si="19"/>
        <v>-1.9722934573600526E-2</v>
      </c>
      <c r="Z45" s="6">
        <f t="shared" si="19"/>
        <v>-3.6306800027899655E-2</v>
      </c>
      <c r="AA45" s="6">
        <f t="shared" si="19"/>
        <v>-3.9925263792699894E-2</v>
      </c>
      <c r="AB45" s="6">
        <f t="shared" si="19"/>
        <v>-4.2629994963299112E-2</v>
      </c>
      <c r="AC45" s="1" t="s">
        <v>40</v>
      </c>
      <c r="AE45" s="22">
        <f t="shared" si="4"/>
        <v>4.1279851068652223E-4</v>
      </c>
      <c r="AF45" s="22">
        <f t="shared" si="20"/>
        <v>-1.401841121321068E-3</v>
      </c>
      <c r="AG45" s="22">
        <f t="shared" si="21"/>
        <v>-2.5805675657828457E-3</v>
      </c>
      <c r="AH45" s="22">
        <f t="shared" si="22"/>
        <v>-2.837756032467558E-3</v>
      </c>
      <c r="AI45" s="22">
        <f t="shared" si="22"/>
        <v>-3.0299994008626432E-3</v>
      </c>
      <c r="AJ45" s="1" t="s">
        <v>40</v>
      </c>
    </row>
    <row r="46" spans="1:36" x14ac:dyDescent="0.25">
      <c r="A46" s="2">
        <v>70</v>
      </c>
      <c r="B46" s="6">
        <v>14.002900544758599</v>
      </c>
      <c r="C46" s="14">
        <v>14.0270583964074</v>
      </c>
      <c r="D46" s="14">
        <v>14.0027758510093</v>
      </c>
      <c r="E46" s="14">
        <v>13.993201772391901</v>
      </c>
      <c r="F46" s="14">
        <v>13.9719589470958</v>
      </c>
      <c r="G46" s="14">
        <v>13.943219230073501</v>
      </c>
      <c r="H46" s="1" t="s">
        <v>40</v>
      </c>
      <c r="J46" s="8">
        <f t="shared" si="17"/>
        <v>2.4157851648800133E-2</v>
      </c>
      <c r="K46" s="8">
        <f t="shared" si="17"/>
        <v>-2.4282545398099487E-2</v>
      </c>
      <c r="L46" s="8">
        <f t="shared" si="17"/>
        <v>-9.5740786173994508E-3</v>
      </c>
      <c r="M46" s="8">
        <f t="shared" si="17"/>
        <v>-2.1242825296100776E-2</v>
      </c>
      <c r="N46" s="8">
        <f t="shared" si="17"/>
        <v>-2.873971702229916E-2</v>
      </c>
      <c r="O46" s="1" t="s">
        <v>40</v>
      </c>
      <c r="Q46" s="22">
        <f t="shared" si="18"/>
        <v>1.7252034013654845E-3</v>
      </c>
      <c r="R46" s="22">
        <f t="shared" si="18"/>
        <v>-1.7311217157489497E-3</v>
      </c>
      <c r="S46" s="22">
        <f t="shared" si="18"/>
        <v>-6.837271923273245E-4</v>
      </c>
      <c r="T46" s="22">
        <f t="shared" si="18"/>
        <v>-1.5180818258486153E-3</v>
      </c>
      <c r="U46" s="22">
        <f t="shared" si="18"/>
        <v>-2.0569568756336042E-3</v>
      </c>
      <c r="V46" s="1" t="s">
        <v>40</v>
      </c>
      <c r="X46" s="6">
        <f t="shared" si="19"/>
        <v>2.4157851648800133E-2</v>
      </c>
      <c r="Y46" s="6">
        <f t="shared" si="19"/>
        <v>-1.2469374929935384E-4</v>
      </c>
      <c r="Z46" s="6">
        <f t="shared" si="19"/>
        <v>-9.6987723666988046E-3</v>
      </c>
      <c r="AA46" s="6">
        <f t="shared" si="19"/>
        <v>-3.094159766279958E-2</v>
      </c>
      <c r="AB46" s="6">
        <f t="shared" si="19"/>
        <v>-5.9681314685098741E-2</v>
      </c>
      <c r="AC46" s="1" t="s">
        <v>40</v>
      </c>
      <c r="AE46" s="22">
        <f t="shared" si="4"/>
        <v>1.7252034013654845E-3</v>
      </c>
      <c r="AF46" s="22">
        <f t="shared" si="20"/>
        <v>-8.9048514556527167E-6</v>
      </c>
      <c r="AG46" s="22">
        <f t="shared" si="21"/>
        <v>-6.9262595529389335E-4</v>
      </c>
      <c r="AH46" s="22">
        <f t="shared" si="22"/>
        <v>-2.2096563182676661E-3</v>
      </c>
      <c r="AI46" s="22">
        <f t="shared" si="22"/>
        <v>-4.262068026144622E-3</v>
      </c>
      <c r="AJ46" s="1" t="s">
        <v>40</v>
      </c>
    </row>
    <row r="47" spans="1:36" x14ac:dyDescent="0.25">
      <c r="A47" s="2">
        <v>80</v>
      </c>
      <c r="B47" s="6">
        <v>8.7005447377217795</v>
      </c>
      <c r="C47" s="14">
        <v>8.7328066525022603</v>
      </c>
      <c r="D47" s="14">
        <v>8.7152098299585994</v>
      </c>
      <c r="E47" s="14">
        <v>8.7173884526797298</v>
      </c>
      <c r="F47" s="14">
        <v>8.6848524044690691</v>
      </c>
      <c r="G47" s="14">
        <v>8.6451921591380501</v>
      </c>
      <c r="H47" s="1" t="s">
        <v>40</v>
      </c>
      <c r="J47" s="8">
        <f t="shared" si="17"/>
        <v>3.2261914780480794E-2</v>
      </c>
      <c r="K47" s="8">
        <f t="shared" si="17"/>
        <v>-1.7596822543660906E-2</v>
      </c>
      <c r="L47" s="8">
        <f t="shared" si="17"/>
        <v>2.1786227211304521E-3</v>
      </c>
      <c r="M47" s="8">
        <f t="shared" si="17"/>
        <v>-3.2536048210660695E-2</v>
      </c>
      <c r="N47" s="8">
        <f t="shared" si="17"/>
        <v>-3.9660245331019084E-2</v>
      </c>
      <c r="O47" s="1" t="s">
        <v>40</v>
      </c>
      <c r="Q47" s="22">
        <f t="shared" si="18"/>
        <v>3.7080338936258963E-3</v>
      </c>
      <c r="R47" s="22">
        <f t="shared" si="18"/>
        <v>-2.0150248647287741E-3</v>
      </c>
      <c r="S47" s="22">
        <f t="shared" si="18"/>
        <v>2.4997937670317701E-4</v>
      </c>
      <c r="T47" s="22">
        <f t="shared" si="18"/>
        <v>-3.7323159782628587E-3</v>
      </c>
      <c r="U47" s="22">
        <f t="shared" si="18"/>
        <v>-4.5665998089513453E-3</v>
      </c>
      <c r="V47" s="1" t="s">
        <v>40</v>
      </c>
      <c r="X47" s="6">
        <f t="shared" si="19"/>
        <v>3.2261914780480794E-2</v>
      </c>
      <c r="Y47" s="6">
        <f t="shared" si="19"/>
        <v>1.4665092236819888E-2</v>
      </c>
      <c r="Z47" s="6">
        <f t="shared" si="19"/>
        <v>1.684371495795034E-2</v>
      </c>
      <c r="AA47" s="6">
        <f t="shared" si="19"/>
        <v>-1.5692333252710355E-2</v>
      </c>
      <c r="AB47" s="6">
        <f t="shared" si="19"/>
        <v>-5.5352578583729439E-2</v>
      </c>
      <c r="AC47" s="1" t="s">
        <v>40</v>
      </c>
      <c r="AE47" s="22">
        <f t="shared" si="4"/>
        <v>3.7080338936258963E-3</v>
      </c>
      <c r="AF47" s="22">
        <f t="shared" si="20"/>
        <v>1.6855372484022089E-3</v>
      </c>
      <c r="AG47" s="22">
        <f t="shared" si="21"/>
        <v>1.9359379746561516E-3</v>
      </c>
      <c r="AH47" s="22">
        <f t="shared" si="22"/>
        <v>-1.8036035358424422E-3</v>
      </c>
      <c r="AI47" s="22">
        <f t="shared" si="22"/>
        <v>-6.3619670092315856E-3</v>
      </c>
      <c r="AJ47" s="1" t="s">
        <v>40</v>
      </c>
    </row>
    <row r="48" spans="1:36" x14ac:dyDescent="0.25">
      <c r="A48" s="2">
        <v>90</v>
      </c>
      <c r="B48" s="6">
        <v>4.1866255582844598</v>
      </c>
      <c r="C48" s="14">
        <v>4.2347518880894501</v>
      </c>
      <c r="D48" s="14">
        <v>4.2285138410411802</v>
      </c>
      <c r="E48" s="14">
        <v>4.2113083812881698</v>
      </c>
      <c r="F48" s="14">
        <v>4.1652050472260704</v>
      </c>
      <c r="G48" s="14">
        <v>4.1153230642791998</v>
      </c>
      <c r="H48" s="1" t="s">
        <v>40</v>
      </c>
      <c r="J48" s="8">
        <f t="shared" si="17"/>
        <v>4.812632980499032E-2</v>
      </c>
      <c r="K48" s="8">
        <f t="shared" si="17"/>
        <v>-6.2380470482699124E-3</v>
      </c>
      <c r="L48" s="8">
        <f t="shared" si="17"/>
        <v>-1.7205459753010466E-2</v>
      </c>
      <c r="M48" s="8">
        <f t="shared" si="17"/>
        <v>-4.6103334062099321E-2</v>
      </c>
      <c r="N48" s="8">
        <f t="shared" si="17"/>
        <v>-4.9881982946870629E-2</v>
      </c>
      <c r="O48" s="1" t="s">
        <v>40</v>
      </c>
      <c r="Q48" s="22">
        <f t="shared" si="18"/>
        <v>1.1495255339890223E-2</v>
      </c>
      <c r="R48" s="22">
        <f t="shared" si="18"/>
        <v>-1.4730608104372954E-3</v>
      </c>
      <c r="S48" s="22">
        <f t="shared" si="18"/>
        <v>-4.0689141385839697E-3</v>
      </c>
      <c r="T48" s="22">
        <f t="shared" si="18"/>
        <v>-1.0947508443444142E-2</v>
      </c>
      <c r="U48" s="22">
        <f t="shared" si="18"/>
        <v>-1.1975876909131008E-2</v>
      </c>
      <c r="V48" s="1" t="s">
        <v>40</v>
      </c>
      <c r="X48" s="6">
        <f t="shared" si="19"/>
        <v>4.812632980499032E-2</v>
      </c>
      <c r="Y48" s="6">
        <f t="shared" si="19"/>
        <v>4.1888282756720407E-2</v>
      </c>
      <c r="Z48" s="6">
        <f t="shared" si="19"/>
        <v>2.4682823003709942E-2</v>
      </c>
      <c r="AA48" s="6">
        <f t="shared" si="19"/>
        <v>-2.142051105838938E-2</v>
      </c>
      <c r="AB48" s="6">
        <f t="shared" si="19"/>
        <v>-7.1302494005260009E-2</v>
      </c>
      <c r="AC48" s="1" t="s">
        <v>40</v>
      </c>
      <c r="AE48" s="22">
        <f t="shared" si="4"/>
        <v>1.1495255339890223E-2</v>
      </c>
      <c r="AF48" s="22">
        <f t="shared" si="20"/>
        <v>1.0005261319305764E-2</v>
      </c>
      <c r="AG48" s="22">
        <f t="shared" si="21"/>
        <v>5.8956366314794444E-3</v>
      </c>
      <c r="AH48" s="22">
        <f t="shared" si="22"/>
        <v>-5.1164143437672973E-3</v>
      </c>
      <c r="AI48" s="22">
        <f t="shared" si="22"/>
        <v>-1.7031017704501238E-2</v>
      </c>
      <c r="AJ48" s="1" t="s">
        <v>40</v>
      </c>
    </row>
    <row r="49" spans="1:36" x14ac:dyDescent="0.25">
      <c r="B49" s="3"/>
      <c r="C49" s="15"/>
      <c r="D49" s="20"/>
      <c r="E49" s="20"/>
      <c r="F49" s="20"/>
      <c r="G49" s="20"/>
      <c r="H49" s="1" t="s">
        <v>40</v>
      </c>
      <c r="J49" s="3"/>
      <c r="K49" s="3"/>
      <c r="L49" s="3"/>
      <c r="M49" s="3"/>
      <c r="N49" s="3"/>
      <c r="O49" s="1" t="s">
        <v>40</v>
      </c>
      <c r="Q49" s="9"/>
      <c r="R49" s="9"/>
      <c r="S49" s="9"/>
      <c r="T49" s="23"/>
      <c r="U49" s="23"/>
      <c r="V49" s="1" t="s">
        <v>40</v>
      </c>
      <c r="X49" s="3"/>
      <c r="Y49" s="3"/>
      <c r="Z49" s="3"/>
      <c r="AA49" s="3"/>
      <c r="AB49" s="3"/>
      <c r="AC49" s="1" t="s">
        <v>40</v>
      </c>
      <c r="AE49" s="9"/>
      <c r="AF49" s="9"/>
      <c r="AG49" s="9"/>
      <c r="AH49" s="9"/>
      <c r="AI49" s="9"/>
      <c r="AJ49" s="1" t="s">
        <v>40</v>
      </c>
    </row>
    <row r="50" spans="1:36" x14ac:dyDescent="0.25">
      <c r="A50" t="s">
        <v>3</v>
      </c>
      <c r="B50" s="3"/>
      <c r="C50" s="15"/>
      <c r="D50" s="20"/>
      <c r="E50" s="20"/>
      <c r="F50" s="20"/>
      <c r="G50" s="20"/>
      <c r="H50" s="1" t="s">
        <v>40</v>
      </c>
      <c r="J50" s="3"/>
      <c r="K50" s="3"/>
      <c r="L50" s="3"/>
      <c r="M50" s="3"/>
      <c r="N50" s="3"/>
      <c r="O50" s="1" t="s">
        <v>40</v>
      </c>
      <c r="Q50" s="9"/>
      <c r="R50" s="9"/>
      <c r="S50" s="9"/>
      <c r="T50" s="23"/>
      <c r="U50" s="23"/>
      <c r="V50" s="1" t="s">
        <v>40</v>
      </c>
      <c r="X50" s="3"/>
      <c r="Y50" s="3"/>
      <c r="Z50" s="3"/>
      <c r="AA50" s="3"/>
      <c r="AB50" s="3"/>
      <c r="AC50" s="1" t="s">
        <v>40</v>
      </c>
      <c r="AE50" s="9"/>
      <c r="AF50" s="9"/>
      <c r="AG50" s="9"/>
      <c r="AH50" s="9"/>
      <c r="AI50" s="9"/>
      <c r="AJ50" s="1" t="s">
        <v>40</v>
      </c>
    </row>
    <row r="51" spans="1:36" x14ac:dyDescent="0.25">
      <c r="A51" s="2" t="s">
        <v>20</v>
      </c>
      <c r="B51" s="3" t="str" cm="1">
        <f t="array" ref="B51:G51">_xlfn.ANCHORARRAY(B10)</f>
        <v>0. AG2024</v>
      </c>
      <c r="C51" s="15" t="str">
        <v>1. AG2024 PreCovid</v>
      </c>
      <c r="D51" s="20" t="str">
        <v>2. Update PreCovid HMD-sterftedate</v>
      </c>
      <c r="E51" s="20" t="str">
        <v>3. Modelwijziging startpunt prognose</v>
      </c>
      <c r="F51" s="20" t="str">
        <v>4. Vernieuwde oversterfteparameters obv 2022/2023</v>
      </c>
      <c r="G51" s="20" t="str">
        <v>5. Kalibratieperiode 2022-2025</v>
      </c>
      <c r="H51" s="1" t="s">
        <v>40</v>
      </c>
      <c r="I51" s="1" t="str" cm="1">
        <f t="array" ref="I51:N51">_xlfn.ANCHORARRAY(B10)</f>
        <v>0. AG2024</v>
      </c>
      <c r="J51" s="3" t="str">
        <v>1. AG2024 PreCovid</v>
      </c>
      <c r="K51" s="3" t="str">
        <v>2. Update PreCovid HMD-sterftedate</v>
      </c>
      <c r="L51" s="3" t="str">
        <v>3. Modelwijziging startpunt prognose</v>
      </c>
      <c r="M51" s="3" t="str">
        <v>4. Vernieuwde oversterfteparameters obv 2022/2023</v>
      </c>
      <c r="N51" s="3" t="str">
        <v>5. Kalibratieperiode 2022-2025</v>
      </c>
      <c r="O51" s="1" t="s">
        <v>40</v>
      </c>
      <c r="P51" s="4" t="str" cm="1">
        <f t="array" ref="P51:U51">_xlfn.ANCHORARRAY(B10)</f>
        <v>0. AG2024</v>
      </c>
      <c r="Q51" s="9" t="str">
        <v>1. AG2024 PreCovid</v>
      </c>
      <c r="R51" s="9" t="str">
        <v>2. Update PreCovid HMD-sterftedate</v>
      </c>
      <c r="S51" s="9" t="str">
        <v>3. Modelwijziging startpunt prognose</v>
      </c>
      <c r="T51" s="23" t="str">
        <v>4. Vernieuwde oversterfteparameters obv 2022/2023</v>
      </c>
      <c r="U51" s="23" t="str">
        <v>5. Kalibratieperiode 2022-2025</v>
      </c>
      <c r="V51" s="1" t="s">
        <v>40</v>
      </c>
      <c r="W51" s="1" t="str" cm="1">
        <f t="array" ref="W51:AB51">_xlfn.ANCHORARRAY($B$10)</f>
        <v>0. AG2024</v>
      </c>
      <c r="X51" s="3" t="str">
        <v>1. AG2024 PreCovid</v>
      </c>
      <c r="Y51" s="3" t="str">
        <v>2. Update PreCovid HMD-sterftedate</v>
      </c>
      <c r="Z51" s="3" t="str">
        <v>3. Modelwijziging startpunt prognose</v>
      </c>
      <c r="AA51" s="3" t="str">
        <v>4. Vernieuwde oversterfteparameters obv 2022/2023</v>
      </c>
      <c r="AB51" s="3" t="str">
        <v>5. Kalibratieperiode 2022-2025</v>
      </c>
      <c r="AC51" s="1" t="s">
        <v>40</v>
      </c>
      <c r="AD51" s="1" t="str" cm="1">
        <f t="array" ref="AD51:AI51">_xlfn.ANCHORARRAY($B$10)</f>
        <v>0. AG2024</v>
      </c>
      <c r="AE51" s="9" t="str">
        <v>1. AG2024 PreCovid</v>
      </c>
      <c r="AF51" s="9" t="str">
        <v>2. Update PreCovid HMD-sterftedate</v>
      </c>
      <c r="AG51" s="9" t="str">
        <v>3. Modelwijziging startpunt prognose</v>
      </c>
      <c r="AH51" s="9" t="str">
        <v>4. Vernieuwde oversterfteparameters obv 2022/2023</v>
      </c>
      <c r="AI51" s="9" t="str">
        <v>5. Kalibratieperiode 2022-2025</v>
      </c>
      <c r="AJ51" s="1" t="s">
        <v>40</v>
      </c>
    </row>
    <row r="52" spans="1:36" x14ac:dyDescent="0.25">
      <c r="A52" s="2">
        <v>30</v>
      </c>
      <c r="B52" s="6">
        <v>0.87763609328263004</v>
      </c>
      <c r="C52" s="14">
        <v>0.87763612617827202</v>
      </c>
      <c r="D52" s="14">
        <v>0.87954957114024501</v>
      </c>
      <c r="E52" s="14">
        <v>0.87555141446487095</v>
      </c>
      <c r="F52" s="14">
        <v>0.875551333047632</v>
      </c>
      <c r="G52" s="14">
        <v>0.87555030575953297</v>
      </c>
      <c r="H52" s="1" t="s">
        <v>40</v>
      </c>
      <c r="J52" s="7">
        <f t="shared" ref="J52:N58" si="23">C52-B52</f>
        <v>3.2895641988162083E-8</v>
      </c>
      <c r="K52" s="7">
        <f t="shared" si="23"/>
        <v>1.9134449619729876E-3</v>
      </c>
      <c r="L52" s="7">
        <f t="shared" si="23"/>
        <v>-3.9981566753740649E-3</v>
      </c>
      <c r="M52" s="7">
        <f t="shared" si="23"/>
        <v>-8.1417238950720616E-8</v>
      </c>
      <c r="N52" s="7">
        <f t="shared" si="23"/>
        <v>-1.0272880990314093E-6</v>
      </c>
      <c r="O52" s="1" t="s">
        <v>40</v>
      </c>
      <c r="Q52" s="22">
        <f t="shared" ref="Q52:U58" si="24">J52/B52</f>
        <v>3.7482097921841639E-8</v>
      </c>
      <c r="R52" s="22">
        <f t="shared" si="24"/>
        <v>2.1802258417793464E-3</v>
      </c>
      <c r="S52" s="22">
        <f t="shared" si="24"/>
        <v>-4.5456865724928597E-3</v>
      </c>
      <c r="T52" s="22">
        <f t="shared" si="24"/>
        <v>-9.2989672114780484E-8</v>
      </c>
      <c r="U52" s="22">
        <f t="shared" si="24"/>
        <v>-1.1733042487133333E-6</v>
      </c>
      <c r="V52" s="1" t="s">
        <v>40</v>
      </c>
      <c r="X52" s="6">
        <f t="shared" ref="X52:AB58" si="25">C52-$B52</f>
        <v>3.2895641988162083E-8</v>
      </c>
      <c r="Y52" s="6">
        <f t="shared" si="25"/>
        <v>1.9134778576149758E-3</v>
      </c>
      <c r="Z52" s="6">
        <f t="shared" si="25"/>
        <v>-2.0846788177590891E-3</v>
      </c>
      <c r="AA52" s="6">
        <f t="shared" si="25"/>
        <v>-2.0847602349980399E-3</v>
      </c>
      <c r="AB52" s="6">
        <f t="shared" si="25"/>
        <v>-2.0857875230970713E-3</v>
      </c>
      <c r="AC52" s="1" t="s">
        <v>40</v>
      </c>
      <c r="AE52" s="22">
        <f t="shared" si="4"/>
        <v>3.7482097921841639E-8</v>
      </c>
      <c r="AF52" s="22">
        <f t="shared" ref="AF52:AF58" si="26">Y52/$B52</f>
        <v>2.1802634055967064E-3</v>
      </c>
      <c r="AG52" s="22">
        <f t="shared" ref="AG52:AG58" si="27">Z52/$B52</f>
        <v>-2.3753339609834715E-3</v>
      </c>
      <c r="AH52" s="22">
        <f t="shared" ref="AH52:AI58" si="28">AA52/$B52</f>
        <v>-2.3754267297740601E-3</v>
      </c>
      <c r="AI52" s="22">
        <f t="shared" si="28"/>
        <v>-2.3765972469244989E-3</v>
      </c>
      <c r="AJ52" s="1" t="s">
        <v>40</v>
      </c>
    </row>
    <row r="53" spans="1:36" x14ac:dyDescent="0.25">
      <c r="A53" s="2">
        <v>40</v>
      </c>
      <c r="B53" s="6">
        <v>1.1873386222990701</v>
      </c>
      <c r="C53" s="14">
        <v>1.1873395096292001</v>
      </c>
      <c r="D53" s="14">
        <v>1.18929333085997</v>
      </c>
      <c r="E53" s="14">
        <v>1.17405421868861</v>
      </c>
      <c r="F53" s="14">
        <v>1.17405204330959</v>
      </c>
      <c r="G53" s="14">
        <v>1.17402470760572</v>
      </c>
      <c r="H53" s="1" t="s">
        <v>40</v>
      </c>
      <c r="J53" s="7">
        <f t="shared" si="23"/>
        <v>8.8733013003938765E-7</v>
      </c>
      <c r="K53" s="7">
        <f t="shared" si="23"/>
        <v>1.9538212307699254E-3</v>
      </c>
      <c r="L53" s="7">
        <f t="shared" si="23"/>
        <v>-1.5239112171359981E-2</v>
      </c>
      <c r="M53" s="7">
        <f t="shared" si="23"/>
        <v>-2.1753790200307321E-6</v>
      </c>
      <c r="N53" s="7">
        <f t="shared" si="23"/>
        <v>-2.7335703870035033E-5</v>
      </c>
      <c r="O53" s="1" t="s">
        <v>40</v>
      </c>
      <c r="Q53" s="22">
        <f t="shared" si="24"/>
        <v>7.4732693216129921E-7</v>
      </c>
      <c r="R53" s="22">
        <f t="shared" si="24"/>
        <v>1.6455455368280414E-3</v>
      </c>
      <c r="S53" s="22">
        <f t="shared" si="24"/>
        <v>-1.2813585829444349E-2</v>
      </c>
      <c r="T53" s="22">
        <f t="shared" si="24"/>
        <v>-1.8528778189312052E-6</v>
      </c>
      <c r="U53" s="22">
        <f t="shared" si="24"/>
        <v>-2.3283213061813805E-5</v>
      </c>
      <c r="V53" s="1" t="s">
        <v>40</v>
      </c>
      <c r="X53" s="6">
        <f t="shared" si="25"/>
        <v>8.8733013003938765E-7</v>
      </c>
      <c r="Y53" s="6">
        <f t="shared" si="25"/>
        <v>1.9547085608999648E-3</v>
      </c>
      <c r="Z53" s="6">
        <f t="shared" si="25"/>
        <v>-1.3284403610460016E-2</v>
      </c>
      <c r="AA53" s="6">
        <f t="shared" si="25"/>
        <v>-1.3286578989480047E-2</v>
      </c>
      <c r="AB53" s="6">
        <f t="shared" si="25"/>
        <v>-1.3313914693350082E-2</v>
      </c>
      <c r="AC53" s="1" t="s">
        <v>40</v>
      </c>
      <c r="AE53" s="22">
        <f t="shared" si="4"/>
        <v>7.4732693216129921E-7</v>
      </c>
      <c r="AF53" s="22">
        <f t="shared" si="26"/>
        <v>1.6462940935207005E-3</v>
      </c>
      <c r="AG53" s="22">
        <f t="shared" si="27"/>
        <v>-1.1188386666591483E-2</v>
      </c>
      <c r="AH53" s="22">
        <f t="shared" si="28"/>
        <v>-1.1190218813696929E-2</v>
      </c>
      <c r="AI53" s="22">
        <f t="shared" si="28"/>
        <v>-1.1213241482509895E-2</v>
      </c>
      <c r="AJ53" s="1" t="s">
        <v>40</v>
      </c>
    </row>
    <row r="54" spans="1:36" x14ac:dyDescent="0.25">
      <c r="A54" s="2">
        <v>50</v>
      </c>
      <c r="B54" s="6">
        <v>1.46670858394309</v>
      </c>
      <c r="C54" s="14">
        <v>1.46672609119685</v>
      </c>
      <c r="D54" s="14">
        <v>1.4678075351416</v>
      </c>
      <c r="E54" s="14">
        <v>1.4600805313176199</v>
      </c>
      <c r="F54" s="14">
        <v>1.4600379316391601</v>
      </c>
      <c r="G54" s="14">
        <v>1.45932198110304</v>
      </c>
      <c r="H54" s="1" t="s">
        <v>40</v>
      </c>
      <c r="J54" s="7">
        <f t="shared" si="23"/>
        <v>1.7507253760040697E-5</v>
      </c>
      <c r="K54" s="7">
        <f t="shared" si="23"/>
        <v>1.0814439447499602E-3</v>
      </c>
      <c r="L54" s="7">
        <f t="shared" si="23"/>
        <v>-7.7270038239800609E-3</v>
      </c>
      <c r="M54" s="7">
        <f t="shared" si="23"/>
        <v>-4.2599678459875889E-5</v>
      </c>
      <c r="N54" s="7">
        <f t="shared" si="23"/>
        <v>-7.1595053612005799E-4</v>
      </c>
      <c r="O54" s="1" t="s">
        <v>40</v>
      </c>
      <c r="Q54" s="22">
        <f t="shared" si="24"/>
        <v>1.1936422784800446E-5</v>
      </c>
      <c r="R54" s="22">
        <f t="shared" si="24"/>
        <v>7.3731827042600759E-4</v>
      </c>
      <c r="S54" s="22">
        <f t="shared" si="24"/>
        <v>-5.2643167710912679E-3</v>
      </c>
      <c r="T54" s="22">
        <f t="shared" si="24"/>
        <v>-2.9176252642333828E-5</v>
      </c>
      <c r="U54" s="22">
        <f t="shared" si="24"/>
        <v>-4.903643395868985E-4</v>
      </c>
      <c r="V54" s="1" t="s">
        <v>40</v>
      </c>
      <c r="X54" s="6">
        <f t="shared" si="25"/>
        <v>1.7507253760040697E-5</v>
      </c>
      <c r="Y54" s="6">
        <f t="shared" si="25"/>
        <v>1.0989511985100009E-3</v>
      </c>
      <c r="Z54" s="6">
        <f t="shared" si="25"/>
        <v>-6.62805262547006E-3</v>
      </c>
      <c r="AA54" s="6">
        <f t="shared" si="25"/>
        <v>-6.6706523039299359E-3</v>
      </c>
      <c r="AB54" s="6">
        <f t="shared" si="25"/>
        <v>-7.3866028400499939E-3</v>
      </c>
      <c r="AC54" s="1" t="s">
        <v>40</v>
      </c>
      <c r="AE54" s="22">
        <f t="shared" si="4"/>
        <v>1.1936422784800446E-5</v>
      </c>
      <c r="AF54" s="22">
        <f t="shared" si="26"/>
        <v>7.492634941534108E-4</v>
      </c>
      <c r="AG54" s="22">
        <f t="shared" si="27"/>
        <v>-4.518997637316096E-3</v>
      </c>
      <c r="AH54" s="22">
        <f t="shared" si="28"/>
        <v>-4.5480420425416728E-3</v>
      </c>
      <c r="AI54" s="22">
        <f t="shared" si="28"/>
        <v>-5.036176184495967E-3</v>
      </c>
      <c r="AJ54" s="1" t="s">
        <v>40</v>
      </c>
    </row>
    <row r="55" spans="1:36" x14ac:dyDescent="0.25">
      <c r="A55" s="2">
        <v>60</v>
      </c>
      <c r="B55" s="6">
        <v>1.55778434346619</v>
      </c>
      <c r="C55" s="14">
        <v>1.5538921110719699</v>
      </c>
      <c r="D55" s="14">
        <v>1.5540074992203901</v>
      </c>
      <c r="E55" s="14">
        <v>1.56971844311993</v>
      </c>
      <c r="F55" s="14">
        <v>1.57164504185343</v>
      </c>
      <c r="G55" s="14">
        <v>1.5729849410033001</v>
      </c>
      <c r="H55" s="1" t="s">
        <v>40</v>
      </c>
      <c r="J55" s="7">
        <f t="shared" si="23"/>
        <v>-3.8922323942200965E-3</v>
      </c>
      <c r="K55" s="7">
        <f t="shared" si="23"/>
        <v>1.153881484201591E-4</v>
      </c>
      <c r="L55" s="7">
        <f t="shared" si="23"/>
        <v>1.5710943899539975E-2</v>
      </c>
      <c r="M55" s="7">
        <f t="shared" si="23"/>
        <v>1.9265987334999846E-3</v>
      </c>
      <c r="N55" s="7">
        <f t="shared" si="23"/>
        <v>1.3398991498700941E-3</v>
      </c>
      <c r="O55" s="1" t="s">
        <v>40</v>
      </c>
      <c r="Q55" s="22">
        <f t="shared" si="24"/>
        <v>-2.4985694653725816E-3</v>
      </c>
      <c r="R55" s="22">
        <f t="shared" si="24"/>
        <v>7.4257503206292286E-5</v>
      </c>
      <c r="S55" s="22">
        <f t="shared" si="24"/>
        <v>1.01099537212155E-2</v>
      </c>
      <c r="T55" s="22">
        <f t="shared" si="24"/>
        <v>1.2273530593618616E-3</v>
      </c>
      <c r="U55" s="22">
        <f t="shared" si="24"/>
        <v>8.5254565387739224E-4</v>
      </c>
      <c r="V55" s="1" t="s">
        <v>40</v>
      </c>
      <c r="X55" s="6">
        <f t="shared" si="25"/>
        <v>-3.8922323942200965E-3</v>
      </c>
      <c r="Y55" s="6">
        <f t="shared" si="25"/>
        <v>-3.7768442457999374E-3</v>
      </c>
      <c r="Z55" s="6">
        <f t="shared" si="25"/>
        <v>1.1934099653740038E-2</v>
      </c>
      <c r="AA55" s="6">
        <f t="shared" si="25"/>
        <v>1.3860698387240022E-2</v>
      </c>
      <c r="AB55" s="6">
        <f t="shared" si="25"/>
        <v>1.5200597537110117E-2</v>
      </c>
      <c r="AC55" s="1" t="s">
        <v>40</v>
      </c>
      <c r="AE55" s="22">
        <f t="shared" si="4"/>
        <v>-2.4985694653725816E-3</v>
      </c>
      <c r="AF55" s="22">
        <f t="shared" si="26"/>
        <v>-2.4244974996963753E-3</v>
      </c>
      <c r="AG55" s="22">
        <f t="shared" si="27"/>
        <v>7.6609446639999915E-3</v>
      </c>
      <c r="AH55" s="22">
        <f t="shared" si="28"/>
        <v>8.8977004072328149E-3</v>
      </c>
      <c r="AI55" s="22">
        <f t="shared" si="28"/>
        <v>9.7578317569218965E-3</v>
      </c>
      <c r="AJ55" s="1" t="s">
        <v>40</v>
      </c>
    </row>
    <row r="56" spans="1:36" x14ac:dyDescent="0.25">
      <c r="A56" s="2">
        <v>70</v>
      </c>
      <c r="B56" s="6">
        <v>1.42797899488601</v>
      </c>
      <c r="C56" s="14">
        <v>1.41571700085798</v>
      </c>
      <c r="D56" s="14">
        <v>1.41575334003936</v>
      </c>
      <c r="E56" s="14">
        <v>1.42716942090618</v>
      </c>
      <c r="F56" s="14">
        <v>1.4366448233962801</v>
      </c>
      <c r="G56" s="14">
        <v>1.4529272362439001</v>
      </c>
      <c r="H56" s="1" t="s">
        <v>40</v>
      </c>
      <c r="J56" s="7">
        <f t="shared" si="23"/>
        <v>-1.2261994028029966E-2</v>
      </c>
      <c r="K56" s="7">
        <f t="shared" si="23"/>
        <v>3.6339181380018459E-5</v>
      </c>
      <c r="L56" s="7">
        <f t="shared" si="23"/>
        <v>1.141608086682E-2</v>
      </c>
      <c r="M56" s="7">
        <f t="shared" si="23"/>
        <v>9.4754024901000378E-3</v>
      </c>
      <c r="N56" s="7">
        <f t="shared" si="23"/>
        <v>1.6282412847619998E-2</v>
      </c>
      <c r="O56" s="1" t="s">
        <v>40</v>
      </c>
      <c r="Q56" s="22">
        <f t="shared" si="24"/>
        <v>-8.5869568613709153E-3</v>
      </c>
      <c r="R56" s="22">
        <f t="shared" si="24"/>
        <v>2.5668393724166265E-5</v>
      </c>
      <c r="S56" s="22">
        <f t="shared" si="24"/>
        <v>8.0636086413913149E-3</v>
      </c>
      <c r="T56" s="22">
        <f t="shared" si="24"/>
        <v>6.6392975853445902E-3</v>
      </c>
      <c r="U56" s="22">
        <f t="shared" si="24"/>
        <v>1.1333638337364269E-2</v>
      </c>
      <c r="V56" s="1" t="s">
        <v>40</v>
      </c>
      <c r="X56" s="6">
        <f t="shared" si="25"/>
        <v>-1.2261994028029966E-2</v>
      </c>
      <c r="Y56" s="6">
        <f t="shared" si="25"/>
        <v>-1.2225654846649947E-2</v>
      </c>
      <c r="Z56" s="6">
        <f t="shared" si="25"/>
        <v>-8.0957397982994728E-4</v>
      </c>
      <c r="AA56" s="6">
        <f t="shared" si="25"/>
        <v>8.6658285102700905E-3</v>
      </c>
      <c r="AB56" s="6">
        <f t="shared" si="25"/>
        <v>2.4948241357890089E-2</v>
      </c>
      <c r="AC56" s="1" t="s">
        <v>40</v>
      </c>
      <c r="AE56" s="22">
        <f t="shared" si="4"/>
        <v>-8.5869568613709153E-3</v>
      </c>
      <c r="AF56" s="22">
        <f t="shared" si="26"/>
        <v>-8.5615088810363591E-3</v>
      </c>
      <c r="AG56" s="22">
        <f t="shared" si="27"/>
        <v>-5.6693689664151709E-4</v>
      </c>
      <c r="AH56" s="22">
        <f t="shared" si="28"/>
        <v>6.0685966259341577E-3</v>
      </c>
      <c r="AI56" s="22">
        <f t="shared" si="28"/>
        <v>1.7471014242672112E-2</v>
      </c>
      <c r="AJ56" s="1" t="s">
        <v>40</v>
      </c>
    </row>
    <row r="57" spans="1:36" x14ac:dyDescent="0.25">
      <c r="A57" s="2">
        <v>80</v>
      </c>
      <c r="B57" s="6">
        <v>1.21357553265416</v>
      </c>
      <c r="C57" s="14">
        <v>1.2062058546988701</v>
      </c>
      <c r="D57" s="14">
        <v>1.2065800396430499</v>
      </c>
      <c r="E57" s="14">
        <v>1.1808111538922701</v>
      </c>
      <c r="F57" s="14">
        <v>1.18936610148984</v>
      </c>
      <c r="G57" s="14">
        <v>1.2059310541194299</v>
      </c>
      <c r="H57" s="1" t="s">
        <v>40</v>
      </c>
      <c r="J57" s="7">
        <f t="shared" si="23"/>
        <v>-7.3696779552898661E-3</v>
      </c>
      <c r="K57" s="7">
        <f t="shared" si="23"/>
        <v>3.7418494417984505E-4</v>
      </c>
      <c r="L57" s="7">
        <f t="shared" si="23"/>
        <v>-2.5768885750779846E-2</v>
      </c>
      <c r="M57" s="7">
        <f t="shared" si="23"/>
        <v>8.5549475975699174E-3</v>
      </c>
      <c r="N57" s="7">
        <f t="shared" si="23"/>
        <v>1.6564952629589902E-2</v>
      </c>
      <c r="O57" s="1" t="s">
        <v>40</v>
      </c>
      <c r="Q57" s="22">
        <f t="shared" si="24"/>
        <v>-6.072698202123401E-3</v>
      </c>
      <c r="R57" s="22">
        <f t="shared" si="24"/>
        <v>3.1021648810787816E-4</v>
      </c>
      <c r="S57" s="22">
        <f t="shared" si="24"/>
        <v>-2.1356963404104725E-2</v>
      </c>
      <c r="T57" s="22">
        <f t="shared" si="24"/>
        <v>7.2449752607523371E-3</v>
      </c>
      <c r="U57" s="22">
        <f t="shared" si="24"/>
        <v>1.3927547295017139E-2</v>
      </c>
      <c r="V57" s="1" t="s">
        <v>40</v>
      </c>
      <c r="X57" s="6">
        <f t="shared" si="25"/>
        <v>-7.3696779552898661E-3</v>
      </c>
      <c r="Y57" s="6">
        <f t="shared" si="25"/>
        <v>-6.9954930111100211E-3</v>
      </c>
      <c r="Z57" s="6">
        <f t="shared" si="25"/>
        <v>-3.2764378761889867E-2</v>
      </c>
      <c r="AA57" s="6">
        <f t="shared" si="25"/>
        <v>-2.420943116431995E-2</v>
      </c>
      <c r="AB57" s="6">
        <f t="shared" si="25"/>
        <v>-7.6444785347300481E-3</v>
      </c>
      <c r="AC57" s="1" t="s">
        <v>40</v>
      </c>
      <c r="AE57" s="22">
        <f t="shared" si="4"/>
        <v>-6.072698202123401E-3</v>
      </c>
      <c r="AF57" s="22">
        <f t="shared" si="26"/>
        <v>-5.7643655651251251E-3</v>
      </c>
      <c r="AG57" s="22">
        <f t="shared" si="27"/>
        <v>-2.6998219624807591E-2</v>
      </c>
      <c r="AH57" s="22">
        <f t="shared" si="28"/>
        <v>-1.9948845797321344E-2</v>
      </c>
      <c r="AI57" s="22">
        <f t="shared" si="28"/>
        <v>-6.2991369956274012E-3</v>
      </c>
      <c r="AJ57" s="1" t="s">
        <v>40</v>
      </c>
    </row>
    <row r="58" spans="1:36" x14ac:dyDescent="0.25">
      <c r="A58" s="2">
        <v>90</v>
      </c>
      <c r="B58" s="6">
        <v>0.89415646805456905</v>
      </c>
      <c r="C58" s="14">
        <v>0.90146613002771203</v>
      </c>
      <c r="D58" s="14">
        <v>0.90160561830286201</v>
      </c>
      <c r="E58" s="14">
        <v>0.85823244253640996</v>
      </c>
      <c r="F58" s="14">
        <v>0.85296619066175206</v>
      </c>
      <c r="G58" s="14">
        <v>0.86125730707137904</v>
      </c>
      <c r="H58" s="1" t="s">
        <v>40</v>
      </c>
      <c r="J58" s="7">
        <f t="shared" si="23"/>
        <v>7.3096619731429779E-3</v>
      </c>
      <c r="K58" s="7">
        <f t="shared" si="23"/>
        <v>1.394882751499793E-4</v>
      </c>
      <c r="L58" s="7">
        <f t="shared" si="23"/>
        <v>-4.3373175766452055E-2</v>
      </c>
      <c r="M58" s="7">
        <f t="shared" si="23"/>
        <v>-5.2662518746579012E-3</v>
      </c>
      <c r="N58" s="7">
        <f t="shared" si="23"/>
        <v>8.2911164096269863E-3</v>
      </c>
      <c r="O58" s="1" t="s">
        <v>40</v>
      </c>
      <c r="Q58" s="22">
        <f t="shared" si="24"/>
        <v>8.1749248977046815E-3</v>
      </c>
      <c r="R58" s="22">
        <f t="shared" si="24"/>
        <v>1.5473490406754526E-4</v>
      </c>
      <c r="S58" s="22">
        <f t="shared" si="24"/>
        <v>-4.81065943755936E-2</v>
      </c>
      <c r="T58" s="22">
        <f t="shared" si="24"/>
        <v>-6.1361603379779996E-3</v>
      </c>
      <c r="U58" s="22">
        <f t="shared" si="24"/>
        <v>9.7203341708005271E-3</v>
      </c>
      <c r="V58" s="1" t="s">
        <v>40</v>
      </c>
      <c r="X58" s="6">
        <f t="shared" si="25"/>
        <v>7.3096619731429779E-3</v>
      </c>
      <c r="Y58" s="6">
        <f t="shared" si="25"/>
        <v>7.4491502482929572E-3</v>
      </c>
      <c r="Z58" s="6">
        <f t="shared" si="25"/>
        <v>-3.5924025518159097E-2</v>
      </c>
      <c r="AA58" s="6">
        <f t="shared" si="25"/>
        <v>-4.1190277392816999E-2</v>
      </c>
      <c r="AB58" s="6">
        <f t="shared" si="25"/>
        <v>-3.2899160983190012E-2</v>
      </c>
      <c r="AC58" s="1" t="s">
        <v>40</v>
      </c>
      <c r="AE58" s="22">
        <f t="shared" si="4"/>
        <v>8.1749248977046815E-3</v>
      </c>
      <c r="AF58" s="22">
        <f t="shared" si="26"/>
        <v>8.3309247479920329E-3</v>
      </c>
      <c r="AG58" s="22">
        <f t="shared" si="27"/>
        <v>-4.0176442045226815E-2</v>
      </c>
      <c r="AH58" s="22">
        <f t="shared" si="28"/>
        <v>-4.6066073293005827E-2</v>
      </c>
      <c r="AI58" s="22">
        <f t="shared" si="28"/>
        <v>-3.6793516748549901E-2</v>
      </c>
      <c r="AJ58" s="1" t="s">
        <v>40</v>
      </c>
    </row>
    <row r="59" spans="1:36" x14ac:dyDescent="0.25">
      <c r="B59" s="3"/>
      <c r="C59" s="15"/>
      <c r="D59" s="20"/>
      <c r="E59" s="20"/>
      <c r="F59" s="20"/>
      <c r="G59" s="20"/>
      <c r="H59" s="1" t="s">
        <v>40</v>
      </c>
      <c r="J59" s="3"/>
      <c r="K59" s="3"/>
      <c r="L59" s="3"/>
      <c r="M59" s="3"/>
      <c r="N59" s="3"/>
      <c r="O59" s="1" t="s">
        <v>40</v>
      </c>
      <c r="Q59" s="9"/>
      <c r="R59" s="9"/>
      <c r="S59" s="9"/>
      <c r="T59" s="23"/>
      <c r="U59" s="23"/>
      <c r="V59" s="1" t="s">
        <v>40</v>
      </c>
      <c r="X59" s="3"/>
      <c r="Y59" s="3"/>
      <c r="Z59" s="3"/>
      <c r="AA59" s="3"/>
      <c r="AB59" s="3"/>
      <c r="AE59" s="9"/>
      <c r="AF59" s="9"/>
      <c r="AG59" s="9"/>
      <c r="AH59" s="9"/>
      <c r="AI59" s="9"/>
      <c r="AJ59" s="1" t="s">
        <v>40</v>
      </c>
    </row>
    <row r="60" spans="1:36" x14ac:dyDescent="0.25">
      <c r="A60" t="s">
        <v>4</v>
      </c>
      <c r="B60" s="3"/>
      <c r="C60" s="15"/>
      <c r="D60" s="20"/>
      <c r="E60" s="20"/>
      <c r="F60" s="20"/>
      <c r="G60" s="20"/>
      <c r="H60" s="1" t="s">
        <v>40</v>
      </c>
      <c r="J60" s="3"/>
      <c r="K60" s="3"/>
      <c r="L60" s="3"/>
      <c r="M60" s="3"/>
      <c r="N60" s="3"/>
      <c r="O60" s="1" t="s">
        <v>40</v>
      </c>
      <c r="Q60" s="9"/>
      <c r="R60" s="9"/>
      <c r="S60" s="9"/>
      <c r="T60" s="23"/>
      <c r="U60" s="23"/>
      <c r="V60" s="1" t="s">
        <v>40</v>
      </c>
      <c r="X60" s="3"/>
      <c r="Y60" s="3"/>
      <c r="Z60" s="3"/>
      <c r="AA60" s="3"/>
      <c r="AB60" s="3"/>
      <c r="AE60" s="9"/>
      <c r="AF60" s="9"/>
      <c r="AG60" s="9"/>
      <c r="AH60" s="9"/>
      <c r="AI60" s="9"/>
      <c r="AJ60" s="1" t="s">
        <v>40</v>
      </c>
    </row>
    <row r="61" spans="1:36" x14ac:dyDescent="0.25">
      <c r="A61" s="2" t="s">
        <v>20</v>
      </c>
      <c r="B61" s="3" t="str" cm="1">
        <f t="array" ref="B61:G61">_xlfn.ANCHORARRAY(B10)</f>
        <v>0. AG2024</v>
      </c>
      <c r="C61" s="15" t="str">
        <v>1. AG2024 PreCovid</v>
      </c>
      <c r="D61" s="20" t="str">
        <v>2. Update PreCovid HMD-sterftedate</v>
      </c>
      <c r="E61" s="20" t="str">
        <v>3. Modelwijziging startpunt prognose</v>
      </c>
      <c r="F61" s="20" t="str">
        <v>4. Vernieuwde oversterfteparameters obv 2022/2023</v>
      </c>
      <c r="G61" s="20" t="str">
        <v>5. Kalibratieperiode 2022-2025</v>
      </c>
      <c r="H61" s="1" t="s">
        <v>40</v>
      </c>
      <c r="I61" s="1" t="str" cm="1">
        <f t="array" ref="I61:N61">_xlfn.ANCHORARRAY(B10)</f>
        <v>0. AG2024</v>
      </c>
      <c r="J61" s="3" t="str">
        <v>1. AG2024 PreCovid</v>
      </c>
      <c r="K61" s="3" t="str">
        <v>2. Update PreCovid HMD-sterftedate</v>
      </c>
      <c r="L61" s="3" t="str">
        <v>3. Modelwijziging startpunt prognose</v>
      </c>
      <c r="M61" s="3" t="str">
        <v>4. Vernieuwde oversterfteparameters obv 2022/2023</v>
      </c>
      <c r="N61" s="3" t="str">
        <v>5. Kalibratieperiode 2022-2025</v>
      </c>
      <c r="O61" s="1" t="s">
        <v>40</v>
      </c>
      <c r="P61" s="4" t="str" cm="1">
        <f t="array" ref="P61:U61">_xlfn.ANCHORARRAY(B10)</f>
        <v>0. AG2024</v>
      </c>
      <c r="Q61" s="9" t="str">
        <v>1. AG2024 PreCovid</v>
      </c>
      <c r="R61" s="9" t="str">
        <v>2. Update PreCovid HMD-sterftedate</v>
      </c>
      <c r="S61" s="9" t="str">
        <v>3. Modelwijziging startpunt prognose</v>
      </c>
      <c r="T61" s="23" t="str">
        <v>4. Vernieuwde oversterfteparameters obv 2022/2023</v>
      </c>
      <c r="U61" s="23" t="str">
        <v>5. Kalibratieperiode 2022-2025</v>
      </c>
      <c r="V61" s="1" t="s">
        <v>40</v>
      </c>
      <c r="W61" s="1" t="str" cm="1">
        <f t="array" ref="W61:AB61">_xlfn.ANCHORARRAY($B$10)</f>
        <v>0. AG2024</v>
      </c>
      <c r="X61" s="3" t="str">
        <v>1. AG2024 PreCovid</v>
      </c>
      <c r="Y61" s="3" t="str">
        <v>2. Update PreCovid HMD-sterftedate</v>
      </c>
      <c r="Z61" s="3" t="str">
        <v>3. Modelwijziging startpunt prognose</v>
      </c>
      <c r="AA61" s="3" t="str">
        <v>4. Vernieuwde oversterfteparameters obv 2022/2023</v>
      </c>
      <c r="AB61" s="3" t="str">
        <v>5. Kalibratieperiode 2022-2025</v>
      </c>
      <c r="AC61" s="1" t="s">
        <v>40</v>
      </c>
      <c r="AD61" s="1" t="str" cm="1">
        <f t="array" ref="AD61:AI61">_xlfn.ANCHORARRAY($B$10)</f>
        <v>0. AG2024</v>
      </c>
      <c r="AE61" s="9" t="str">
        <v>1. AG2024 PreCovid</v>
      </c>
      <c r="AF61" s="9" t="str">
        <v>2. Update PreCovid HMD-sterftedate</v>
      </c>
      <c r="AG61" s="9" t="str">
        <v>3. Modelwijziging startpunt prognose</v>
      </c>
      <c r="AH61" s="9" t="str">
        <v>4. Vernieuwde oversterfteparameters obv 2022/2023</v>
      </c>
      <c r="AI61" s="9" t="str">
        <v>5. Kalibratieperiode 2022-2025</v>
      </c>
      <c r="AJ61" s="1" t="s">
        <v>40</v>
      </c>
    </row>
    <row r="62" spans="1:36" x14ac:dyDescent="0.25">
      <c r="A62" s="2">
        <v>30</v>
      </c>
      <c r="B62" s="6">
        <v>27.7539643273353</v>
      </c>
      <c r="C62" s="14">
        <v>27.753964354470298</v>
      </c>
      <c r="D62" s="14">
        <v>27.7375910091931</v>
      </c>
      <c r="E62" s="14">
        <v>27.742036964399901</v>
      </c>
      <c r="F62" s="14">
        <v>27.742036955277602</v>
      </c>
      <c r="G62" s="14">
        <v>27.742038143902501</v>
      </c>
      <c r="H62" s="1" t="s">
        <v>40</v>
      </c>
      <c r="J62" s="7">
        <f t="shared" ref="J62:N68" si="29">C62-B62</f>
        <v>2.7134998248357078E-8</v>
      </c>
      <c r="K62" s="7">
        <f t="shared" si="29"/>
        <v>-1.6373345277198581E-2</v>
      </c>
      <c r="L62" s="7">
        <f t="shared" si="29"/>
        <v>4.4459552068012442E-3</v>
      </c>
      <c r="M62" s="7">
        <f t="shared" si="29"/>
        <v>-9.1222993603423674E-9</v>
      </c>
      <c r="N62" s="7">
        <f t="shared" si="29"/>
        <v>1.1886248998393967E-6</v>
      </c>
      <c r="O62" s="1" t="s">
        <v>40</v>
      </c>
      <c r="Q62" s="22">
        <f t="shared" ref="Q62:U68" si="30">J62/B62</f>
        <v>9.7769810209172207E-10</v>
      </c>
      <c r="R62" s="22">
        <f t="shared" si="30"/>
        <v>-5.8994618095203205E-4</v>
      </c>
      <c r="S62" s="22">
        <f t="shared" si="30"/>
        <v>1.602862773961775E-4</v>
      </c>
      <c r="T62" s="22">
        <f t="shared" si="30"/>
        <v>-3.2882586711453816E-10</v>
      </c>
      <c r="U62" s="22">
        <f t="shared" si="30"/>
        <v>4.2845624557257845E-8</v>
      </c>
      <c r="V62" s="1" t="s">
        <v>40</v>
      </c>
      <c r="X62" s="6">
        <f t="shared" ref="X62:AB68" si="31">C62-$B62</f>
        <v>2.7134998248357078E-8</v>
      </c>
      <c r="Y62" s="6">
        <f t="shared" si="31"/>
        <v>-1.6373318142200333E-2</v>
      </c>
      <c r="Z62" s="6">
        <f t="shared" si="31"/>
        <v>-1.1927362935399088E-2</v>
      </c>
      <c r="AA62" s="6">
        <f t="shared" si="31"/>
        <v>-1.1927372057698449E-2</v>
      </c>
      <c r="AB62" s="6">
        <f t="shared" si="31"/>
        <v>-1.1926183432798609E-2</v>
      </c>
      <c r="AE62" s="22">
        <f t="shared" si="4"/>
        <v>9.7769810209172207E-10</v>
      </c>
      <c r="AF62" s="22">
        <f t="shared" ref="AF62:AF68" si="32">Y62/$B62</f>
        <v>-5.8994520383071915E-4</v>
      </c>
      <c r="AG62" s="22">
        <f t="shared" ref="AG62:AG68" si="33">Z62/$B62</f>
        <v>-4.2975348655513142E-4</v>
      </c>
      <c r="AH62" s="22">
        <f t="shared" ref="AH62:AI68" si="34">AA62/$B62</f>
        <v>-4.2975381523968447E-4</v>
      </c>
      <c r="AI62" s="22">
        <f t="shared" si="34"/>
        <v>-4.2971098802819786E-4</v>
      </c>
      <c r="AJ62" s="1" t="s">
        <v>40</v>
      </c>
    </row>
    <row r="63" spans="1:36" x14ac:dyDescent="0.25">
      <c r="A63" s="2">
        <v>40</v>
      </c>
      <c r="B63" s="6">
        <v>25.4624403930396</v>
      </c>
      <c r="C63" s="14">
        <v>25.462441249952999</v>
      </c>
      <c r="D63" s="14">
        <v>25.4418255581053</v>
      </c>
      <c r="E63" s="14">
        <v>25.459499125288001</v>
      </c>
      <c r="F63" s="14">
        <v>25.459498775856801</v>
      </c>
      <c r="G63" s="14">
        <v>25.4595308621867</v>
      </c>
      <c r="H63" s="1" t="s">
        <v>40</v>
      </c>
      <c r="J63" s="7">
        <f t="shared" si="29"/>
        <v>8.5691339890558993E-7</v>
      </c>
      <c r="K63" s="7">
        <f t="shared" si="29"/>
        <v>-2.0615691847698514E-2</v>
      </c>
      <c r="L63" s="7">
        <f t="shared" si="29"/>
        <v>1.7673567182701078E-2</v>
      </c>
      <c r="M63" s="7">
        <f t="shared" si="29"/>
        <v>-3.4943120041930342E-7</v>
      </c>
      <c r="N63" s="7">
        <f t="shared" si="29"/>
        <v>3.2086329898817212E-5</v>
      </c>
      <c r="O63" s="1" t="s">
        <v>40</v>
      </c>
      <c r="Q63" s="22">
        <f t="shared" si="30"/>
        <v>3.3654016884408114E-8</v>
      </c>
      <c r="R63" s="22">
        <f t="shared" si="30"/>
        <v>-8.0965103248835455E-4</v>
      </c>
      <c r="S63" s="22">
        <f t="shared" si="30"/>
        <v>6.9466584236800577E-4</v>
      </c>
      <c r="T63" s="22">
        <f t="shared" si="30"/>
        <v>-1.372498330386343E-8</v>
      </c>
      <c r="U63" s="22">
        <f t="shared" si="30"/>
        <v>1.2602891432114376E-6</v>
      </c>
      <c r="V63" s="1" t="s">
        <v>40</v>
      </c>
      <c r="X63" s="6">
        <f t="shared" si="31"/>
        <v>8.5691339890558993E-7</v>
      </c>
      <c r="Y63" s="6">
        <f t="shared" si="31"/>
        <v>-2.0614834934299608E-2</v>
      </c>
      <c r="Z63" s="6">
        <f t="shared" si="31"/>
        <v>-2.9412677515985308E-3</v>
      </c>
      <c r="AA63" s="6">
        <f t="shared" si="31"/>
        <v>-2.9416171827989501E-3</v>
      </c>
      <c r="AB63" s="6">
        <f t="shared" si="31"/>
        <v>-2.9095308529001329E-3</v>
      </c>
      <c r="AE63" s="22">
        <f t="shared" si="4"/>
        <v>3.3654016884408114E-8</v>
      </c>
      <c r="AF63" s="22">
        <f t="shared" si="32"/>
        <v>-8.096174057194796E-4</v>
      </c>
      <c r="AG63" s="22">
        <f t="shared" si="33"/>
        <v>-1.1551397690861377E-4</v>
      </c>
      <c r="AH63" s="22">
        <f t="shared" si="34"/>
        <v>-1.1552770030649023E-4</v>
      </c>
      <c r="AI63" s="22">
        <f t="shared" si="34"/>
        <v>-1.1426755676158522E-4</v>
      </c>
      <c r="AJ63" s="1" t="s">
        <v>40</v>
      </c>
    </row>
    <row r="64" spans="1:36" x14ac:dyDescent="0.25">
      <c r="A64" s="2">
        <v>50</v>
      </c>
      <c r="B64" s="6">
        <v>22.455184217360401</v>
      </c>
      <c r="C64" s="14">
        <v>22.455211096439498</v>
      </c>
      <c r="D64" s="14">
        <v>22.431263989286698</v>
      </c>
      <c r="E64" s="14">
        <v>22.440869975937801</v>
      </c>
      <c r="F64" s="14">
        <v>22.4408563613833</v>
      </c>
      <c r="G64" s="14">
        <v>22.441717007498799</v>
      </c>
      <c r="H64" s="1" t="s">
        <v>40</v>
      </c>
      <c r="J64" s="7">
        <f t="shared" si="29"/>
        <v>2.6879079097597014E-5</v>
      </c>
      <c r="K64" s="7">
        <f t="shared" si="29"/>
        <v>-2.3947107152800129E-2</v>
      </c>
      <c r="L64" s="7">
        <f t="shared" si="29"/>
        <v>9.6059866511026826E-3</v>
      </c>
      <c r="M64" s="7">
        <f t="shared" si="29"/>
        <v>-1.3614554500662734E-5</v>
      </c>
      <c r="N64" s="7">
        <f t="shared" si="29"/>
        <v>8.6064611549829806E-4</v>
      </c>
      <c r="O64" s="1" t="s">
        <v>40</v>
      </c>
      <c r="Q64" s="22">
        <f t="shared" si="30"/>
        <v>1.1970099571401619E-6</v>
      </c>
      <c r="R64" s="22">
        <f t="shared" si="30"/>
        <v>-1.0664387455523491E-3</v>
      </c>
      <c r="S64" s="22">
        <f t="shared" si="30"/>
        <v>4.2824098792161499E-4</v>
      </c>
      <c r="T64" s="22">
        <f t="shared" si="30"/>
        <v>-6.0668568176104247E-7</v>
      </c>
      <c r="U64" s="22">
        <f t="shared" si="30"/>
        <v>3.8351750113213866E-5</v>
      </c>
      <c r="V64" s="1" t="s">
        <v>40</v>
      </c>
      <c r="X64" s="6">
        <f t="shared" si="31"/>
        <v>2.6879079097597014E-5</v>
      </c>
      <c r="Y64" s="6">
        <f t="shared" si="31"/>
        <v>-2.3920228073702532E-2</v>
      </c>
      <c r="Z64" s="6">
        <f t="shared" si="31"/>
        <v>-1.4314241422599849E-2</v>
      </c>
      <c r="AA64" s="6">
        <f t="shared" si="31"/>
        <v>-1.4327855977100512E-2</v>
      </c>
      <c r="AB64" s="6">
        <f t="shared" si="31"/>
        <v>-1.3467209861602214E-2</v>
      </c>
      <c r="AE64" s="22">
        <f t="shared" si="4"/>
        <v>1.1970099571401619E-6</v>
      </c>
      <c r="AF64" s="22">
        <f t="shared" si="32"/>
        <v>-1.065243012133006E-3</v>
      </c>
      <c r="AG64" s="22">
        <f t="shared" si="33"/>
        <v>-6.3745820493128346E-4</v>
      </c>
      <c r="AH64" s="22">
        <f t="shared" si="34"/>
        <v>-6.3806450387627884E-4</v>
      </c>
      <c r="AI64" s="22">
        <f t="shared" si="34"/>
        <v>-5.9973722465347381E-4</v>
      </c>
      <c r="AJ64" s="1" t="s">
        <v>40</v>
      </c>
    </row>
    <row r="65" spans="1:36" x14ac:dyDescent="0.25">
      <c r="A65" s="2">
        <v>60</v>
      </c>
      <c r="B65" s="6">
        <v>18.663253976415</v>
      </c>
      <c r="C65" s="14">
        <v>18.669248594837001</v>
      </c>
      <c r="D65" s="14">
        <v>18.6435388973578</v>
      </c>
      <c r="E65" s="14">
        <v>18.625896253779199</v>
      </c>
      <c r="F65" s="14">
        <v>18.622326722544599</v>
      </c>
      <c r="G65" s="14">
        <v>18.6198969668053</v>
      </c>
      <c r="H65" s="1" t="s">
        <v>40</v>
      </c>
      <c r="J65" s="7">
        <f t="shared" si="29"/>
        <v>5.9946184220009968E-3</v>
      </c>
      <c r="K65" s="7">
        <f t="shared" si="29"/>
        <v>-2.5709697479200599E-2</v>
      </c>
      <c r="L65" s="7">
        <f t="shared" si="29"/>
        <v>-1.764264357860057E-2</v>
      </c>
      <c r="M65" s="7">
        <f t="shared" si="29"/>
        <v>-3.5695312346000208E-3</v>
      </c>
      <c r="N65" s="7">
        <f t="shared" si="29"/>
        <v>-2.4297557392998215E-3</v>
      </c>
      <c r="O65" s="1" t="s">
        <v>40</v>
      </c>
      <c r="Q65" s="22">
        <f t="shared" si="30"/>
        <v>3.2119899507216027E-4</v>
      </c>
      <c r="R65" s="22">
        <f t="shared" si="30"/>
        <v>-1.3771147429206467E-3</v>
      </c>
      <c r="S65" s="22">
        <f t="shared" si="30"/>
        <v>-9.4631409174686897E-4</v>
      </c>
      <c r="T65" s="22">
        <f t="shared" si="30"/>
        <v>-1.9164346166030866E-4</v>
      </c>
      <c r="U65" s="22">
        <f t="shared" si="30"/>
        <v>-1.3047541134364834E-4</v>
      </c>
      <c r="V65" s="1" t="s">
        <v>40</v>
      </c>
      <c r="X65" s="6">
        <f t="shared" si="31"/>
        <v>5.9946184220009968E-3</v>
      </c>
      <c r="Y65" s="6">
        <f t="shared" si="31"/>
        <v>-1.9715079057199603E-2</v>
      </c>
      <c r="Z65" s="6">
        <f t="shared" si="31"/>
        <v>-3.7357722635800172E-2</v>
      </c>
      <c r="AA65" s="6">
        <f t="shared" si="31"/>
        <v>-4.0927253870400193E-2</v>
      </c>
      <c r="AB65" s="6">
        <f t="shared" si="31"/>
        <v>-4.3357009609700015E-2</v>
      </c>
      <c r="AE65" s="22">
        <f t="shared" si="4"/>
        <v>3.2119899507216027E-4</v>
      </c>
      <c r="AF65" s="22">
        <f t="shared" si="32"/>
        <v>-1.0563580757200115E-3</v>
      </c>
      <c r="AG65" s="22">
        <f t="shared" si="33"/>
        <v>-2.0016725209338962E-3</v>
      </c>
      <c r="AH65" s="22">
        <f t="shared" si="34"/>
        <v>-2.1929323751431824E-3</v>
      </c>
      <c r="AI65" s="22">
        <f t="shared" si="34"/>
        <v>-2.3231216627331353E-3</v>
      </c>
      <c r="AJ65" s="1" t="s">
        <v>40</v>
      </c>
    </row>
    <row r="66" spans="1:36" x14ac:dyDescent="0.25">
      <c r="A66" s="2">
        <v>70</v>
      </c>
      <c r="B66" s="6">
        <v>14.002900544758599</v>
      </c>
      <c r="C66" s="14">
        <v>14.0270583964074</v>
      </c>
      <c r="D66" s="14">
        <v>14.0027758510093</v>
      </c>
      <c r="E66" s="14">
        <v>13.993201772391901</v>
      </c>
      <c r="F66" s="14">
        <v>13.9719589470958</v>
      </c>
      <c r="G66" s="14">
        <v>13.943219230073501</v>
      </c>
      <c r="H66" s="1" t="s">
        <v>40</v>
      </c>
      <c r="J66" s="7">
        <f t="shared" si="29"/>
        <v>2.4157851648800133E-2</v>
      </c>
      <c r="K66" s="7">
        <f t="shared" si="29"/>
        <v>-2.4282545398099487E-2</v>
      </c>
      <c r="L66" s="7">
        <f t="shared" si="29"/>
        <v>-9.5740786173994508E-3</v>
      </c>
      <c r="M66" s="7">
        <f t="shared" si="29"/>
        <v>-2.1242825296100776E-2</v>
      </c>
      <c r="N66" s="7">
        <f t="shared" si="29"/>
        <v>-2.873971702229916E-2</v>
      </c>
      <c r="O66" s="1" t="s">
        <v>40</v>
      </c>
      <c r="Q66" s="22">
        <f t="shared" si="30"/>
        <v>1.7252034013654845E-3</v>
      </c>
      <c r="R66" s="22">
        <f t="shared" si="30"/>
        <v>-1.7311217157489497E-3</v>
      </c>
      <c r="S66" s="22">
        <f t="shared" si="30"/>
        <v>-6.837271923273245E-4</v>
      </c>
      <c r="T66" s="22">
        <f t="shared" si="30"/>
        <v>-1.5180818258486153E-3</v>
      </c>
      <c r="U66" s="22">
        <f t="shared" si="30"/>
        <v>-2.0569568756336042E-3</v>
      </c>
      <c r="V66" s="1" t="s">
        <v>40</v>
      </c>
      <c r="X66" s="6">
        <f t="shared" si="31"/>
        <v>2.4157851648800133E-2</v>
      </c>
      <c r="Y66" s="6">
        <f t="shared" si="31"/>
        <v>-1.2469374929935384E-4</v>
      </c>
      <c r="Z66" s="6">
        <f t="shared" si="31"/>
        <v>-9.6987723666988046E-3</v>
      </c>
      <c r="AA66" s="6">
        <f t="shared" si="31"/>
        <v>-3.094159766279958E-2</v>
      </c>
      <c r="AB66" s="6">
        <f t="shared" si="31"/>
        <v>-5.9681314685098741E-2</v>
      </c>
      <c r="AE66" s="22">
        <f t="shared" si="4"/>
        <v>1.7252034013654845E-3</v>
      </c>
      <c r="AF66" s="22">
        <f t="shared" si="32"/>
        <v>-8.9048514556527167E-6</v>
      </c>
      <c r="AG66" s="22">
        <f t="shared" si="33"/>
        <v>-6.9262595529389335E-4</v>
      </c>
      <c r="AH66" s="22">
        <f t="shared" si="34"/>
        <v>-2.2096563182676661E-3</v>
      </c>
      <c r="AI66" s="22">
        <f t="shared" si="34"/>
        <v>-4.262068026144622E-3</v>
      </c>
      <c r="AJ66" s="1" t="s">
        <v>40</v>
      </c>
    </row>
    <row r="67" spans="1:36" x14ac:dyDescent="0.25">
      <c r="A67" s="2">
        <v>80</v>
      </c>
      <c r="B67" s="6">
        <v>8.7005447377217795</v>
      </c>
      <c r="C67" s="14">
        <v>8.7328066525022603</v>
      </c>
      <c r="D67" s="14">
        <v>8.7152098299585994</v>
      </c>
      <c r="E67" s="14">
        <v>8.7173884526797298</v>
      </c>
      <c r="F67" s="14">
        <v>8.6848524044690691</v>
      </c>
      <c r="G67" s="14">
        <v>8.6451921591380501</v>
      </c>
      <c r="H67" s="1" t="s">
        <v>40</v>
      </c>
      <c r="J67" s="7">
        <f t="shared" si="29"/>
        <v>3.2261914780480794E-2</v>
      </c>
      <c r="K67" s="7">
        <f t="shared" si="29"/>
        <v>-1.7596822543660906E-2</v>
      </c>
      <c r="L67" s="7">
        <f t="shared" si="29"/>
        <v>2.1786227211304521E-3</v>
      </c>
      <c r="M67" s="7">
        <f t="shared" si="29"/>
        <v>-3.2536048210660695E-2</v>
      </c>
      <c r="N67" s="7">
        <f t="shared" si="29"/>
        <v>-3.9660245331019084E-2</v>
      </c>
      <c r="O67" s="1" t="s">
        <v>40</v>
      </c>
      <c r="Q67" s="22">
        <f t="shared" si="30"/>
        <v>3.7080338936258963E-3</v>
      </c>
      <c r="R67" s="22">
        <f t="shared" si="30"/>
        <v>-2.0150248647287741E-3</v>
      </c>
      <c r="S67" s="22">
        <f t="shared" si="30"/>
        <v>2.4997937670317701E-4</v>
      </c>
      <c r="T67" s="22">
        <f t="shared" si="30"/>
        <v>-3.7323159782628587E-3</v>
      </c>
      <c r="U67" s="22">
        <f t="shared" si="30"/>
        <v>-4.5665998089513453E-3</v>
      </c>
      <c r="V67" s="1" t="s">
        <v>40</v>
      </c>
      <c r="X67" s="6">
        <f t="shared" si="31"/>
        <v>3.2261914780480794E-2</v>
      </c>
      <c r="Y67" s="6">
        <f t="shared" si="31"/>
        <v>1.4665092236819888E-2</v>
      </c>
      <c r="Z67" s="6">
        <f t="shared" si="31"/>
        <v>1.684371495795034E-2</v>
      </c>
      <c r="AA67" s="6">
        <f t="shared" si="31"/>
        <v>-1.5692333252710355E-2</v>
      </c>
      <c r="AB67" s="6">
        <f t="shared" si="31"/>
        <v>-5.5352578583729439E-2</v>
      </c>
      <c r="AE67" s="22">
        <f t="shared" si="4"/>
        <v>3.7080338936258963E-3</v>
      </c>
      <c r="AF67" s="22">
        <f t="shared" si="32"/>
        <v>1.6855372484022089E-3</v>
      </c>
      <c r="AG67" s="22">
        <f t="shared" si="33"/>
        <v>1.9359379746561516E-3</v>
      </c>
      <c r="AH67" s="22">
        <f t="shared" si="34"/>
        <v>-1.8036035358424422E-3</v>
      </c>
      <c r="AI67" s="22">
        <f t="shared" si="34"/>
        <v>-6.3619670092315856E-3</v>
      </c>
      <c r="AJ67" s="1" t="s">
        <v>40</v>
      </c>
    </row>
    <row r="68" spans="1:36" x14ac:dyDescent="0.25">
      <c r="A68" s="2">
        <v>90</v>
      </c>
      <c r="B68" s="6">
        <v>4.1866255582844598</v>
      </c>
      <c r="C68" s="14">
        <v>4.2347518880894501</v>
      </c>
      <c r="D68" s="14">
        <v>4.2285138410411802</v>
      </c>
      <c r="E68" s="14">
        <v>4.2113083812881698</v>
      </c>
      <c r="F68" s="14">
        <v>4.1652050472260704</v>
      </c>
      <c r="G68" s="14">
        <v>4.1153230642791998</v>
      </c>
      <c r="H68" s="1" t="s">
        <v>40</v>
      </c>
      <c r="J68" s="7">
        <f t="shared" si="29"/>
        <v>4.812632980499032E-2</v>
      </c>
      <c r="K68" s="7">
        <f t="shared" si="29"/>
        <v>-6.2380470482699124E-3</v>
      </c>
      <c r="L68" s="7">
        <f t="shared" si="29"/>
        <v>-1.7205459753010466E-2</v>
      </c>
      <c r="M68" s="7">
        <f t="shared" si="29"/>
        <v>-4.6103334062099321E-2</v>
      </c>
      <c r="N68" s="7">
        <f t="shared" si="29"/>
        <v>-4.9881982946870629E-2</v>
      </c>
      <c r="O68" s="1" t="s">
        <v>40</v>
      </c>
      <c r="Q68" s="22">
        <f t="shared" si="30"/>
        <v>1.1495255339890223E-2</v>
      </c>
      <c r="R68" s="22">
        <f t="shared" si="30"/>
        <v>-1.4730608104372954E-3</v>
      </c>
      <c r="S68" s="22">
        <f t="shared" si="30"/>
        <v>-4.0689141385839697E-3</v>
      </c>
      <c r="T68" s="22">
        <f t="shared" si="30"/>
        <v>-1.0947508443444142E-2</v>
      </c>
      <c r="U68" s="22">
        <f t="shared" si="30"/>
        <v>-1.1975876909131008E-2</v>
      </c>
      <c r="V68" s="1" t="s">
        <v>40</v>
      </c>
      <c r="X68" s="6">
        <f t="shared" si="31"/>
        <v>4.812632980499032E-2</v>
      </c>
      <c r="Y68" s="6">
        <f t="shared" si="31"/>
        <v>4.1888282756720407E-2</v>
      </c>
      <c r="Z68" s="6">
        <f t="shared" si="31"/>
        <v>2.4682823003709942E-2</v>
      </c>
      <c r="AA68" s="6">
        <f t="shared" si="31"/>
        <v>-2.142051105838938E-2</v>
      </c>
      <c r="AB68" s="6">
        <f t="shared" si="31"/>
        <v>-7.1302494005260009E-2</v>
      </c>
      <c r="AE68" s="22">
        <f t="shared" si="4"/>
        <v>1.1495255339890223E-2</v>
      </c>
      <c r="AF68" s="22">
        <f t="shared" si="32"/>
        <v>1.0005261319305764E-2</v>
      </c>
      <c r="AG68" s="22">
        <f t="shared" si="33"/>
        <v>5.8956366314794444E-3</v>
      </c>
      <c r="AH68" s="22">
        <f t="shared" si="34"/>
        <v>-5.1164143437672973E-3</v>
      </c>
      <c r="AI68" s="22">
        <f t="shared" si="34"/>
        <v>-1.7031017704501238E-2</v>
      </c>
      <c r="AJ68" s="1" t="s">
        <v>40</v>
      </c>
    </row>
  </sheetData>
  <conditionalFormatting sqref="Q11:U17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E11:AI17"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21:U27"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E21:AI27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31:U37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E31:AI37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42:U48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E42:AI48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E52:AI58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E62:AI68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62:U68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52:U58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99768-7F22-4657-A64A-DD0A3F32DBCB}">
  <dimension ref="A1:P163"/>
  <sheetViews>
    <sheetView topLeftCell="A146" zoomScale="72" workbookViewId="0">
      <selection activeCell="A163" sqref="A163"/>
    </sheetView>
  </sheetViews>
  <sheetFormatPr defaultColWidth="9.140625" defaultRowHeight="15" x14ac:dyDescent="0.25"/>
  <cols>
    <col min="1" max="1" width="33.7109375" style="1" customWidth="1"/>
    <col min="2" max="2" width="47" style="1" bestFit="1" customWidth="1"/>
    <col min="3" max="3" width="6.85546875" style="1" bestFit="1" customWidth="1"/>
    <col min="4" max="4" width="23.5703125" style="1" bestFit="1" customWidth="1"/>
    <col min="5" max="5" width="16.85546875" style="1" bestFit="1" customWidth="1"/>
    <col min="6" max="6" width="17.85546875" style="1" bestFit="1" customWidth="1"/>
    <col min="7" max="7" width="17.42578125" style="1" customWidth="1"/>
    <col min="8" max="8" width="12.42578125" style="1" bestFit="1" customWidth="1"/>
    <col min="9" max="9" width="11.42578125" style="1" bestFit="1" customWidth="1"/>
    <col min="10" max="10" width="18.7109375" style="1" bestFit="1" customWidth="1"/>
    <col min="11" max="14" width="12.42578125" style="1" bestFit="1" customWidth="1"/>
    <col min="15" max="15" width="14.140625" style="1" bestFit="1" customWidth="1"/>
    <col min="16" max="16384" width="9.140625" style="1"/>
  </cols>
  <sheetData>
    <row r="1" spans="1:15" x14ac:dyDescent="0.25">
      <c r="A1" s="2" t="s">
        <v>58</v>
      </c>
    </row>
    <row r="2" spans="1:15" x14ac:dyDescent="0.25">
      <c r="A2" s="1" t="s">
        <v>52</v>
      </c>
    </row>
    <row r="3" spans="1:15" x14ac:dyDescent="0.25">
      <c r="A3" s="1" t="s">
        <v>53</v>
      </c>
    </row>
    <row r="4" spans="1:15" x14ac:dyDescent="0.25">
      <c r="A4" s="1" t="s">
        <v>54</v>
      </c>
    </row>
    <row r="5" spans="1:15" x14ac:dyDescent="0.25">
      <c r="A5" s="1" t="s">
        <v>57</v>
      </c>
    </row>
    <row r="7" spans="1:15" ht="13.5" customHeight="1" thickBot="1" x14ac:dyDescent="0.3">
      <c r="A7" s="11" t="s">
        <v>45</v>
      </c>
      <c r="B7" s="11" t="s">
        <v>0</v>
      </c>
      <c r="C7" s="11" t="s">
        <v>1</v>
      </c>
      <c r="D7" s="11" t="s">
        <v>12</v>
      </c>
      <c r="E7" s="11" t="s">
        <v>13</v>
      </c>
      <c r="F7" s="11" t="s">
        <v>14</v>
      </c>
      <c r="G7" s="11" t="s">
        <v>15</v>
      </c>
      <c r="H7" s="11" t="s">
        <v>16</v>
      </c>
      <c r="I7" s="11" t="s">
        <v>17</v>
      </c>
      <c r="J7" s="11" t="s">
        <v>18</v>
      </c>
      <c r="K7" s="11" t="s">
        <v>19</v>
      </c>
      <c r="L7" s="11" t="s">
        <v>2</v>
      </c>
      <c r="M7" s="11" t="s">
        <v>3</v>
      </c>
      <c r="N7" s="11" t="s">
        <v>4</v>
      </c>
      <c r="O7" s="11" t="s">
        <v>5</v>
      </c>
    </row>
    <row r="8" spans="1:15" x14ac:dyDescent="0.25">
      <c r="A8" s="1" t="s">
        <v>46</v>
      </c>
      <c r="B8" t="s">
        <v>35</v>
      </c>
      <c r="C8" t="s">
        <v>6</v>
      </c>
      <c r="D8" s="1">
        <v>514512.25709827902</v>
      </c>
      <c r="E8" s="1">
        <v>124583.12400669399</v>
      </c>
      <c r="F8" s="1">
        <v>0</v>
      </c>
      <c r="G8" s="1">
        <v>639095.38110497396</v>
      </c>
      <c r="H8" s="1">
        <v>0</v>
      </c>
      <c r="I8" s="1">
        <v>0</v>
      </c>
      <c r="J8" s="1">
        <v>30724.403573010099</v>
      </c>
      <c r="K8" s="1">
        <v>30724.403573010099</v>
      </c>
      <c r="L8" s="1">
        <v>514512.25709827902</v>
      </c>
      <c r="M8" s="1">
        <v>124583.12400669399</v>
      </c>
      <c r="N8" s="1">
        <v>30724.403573010099</v>
      </c>
      <c r="O8" s="1">
        <v>669819.78467798396</v>
      </c>
    </row>
    <row r="9" spans="1:15" x14ac:dyDescent="0.25">
      <c r="A9" s="1" t="s">
        <v>46</v>
      </c>
      <c r="B9" t="s">
        <v>60</v>
      </c>
      <c r="C9" t="s">
        <v>7</v>
      </c>
      <c r="D9" s="1">
        <v>538358.61751663301</v>
      </c>
      <c r="E9" s="1">
        <v>128544.32843605299</v>
      </c>
      <c r="F9" s="1">
        <v>0</v>
      </c>
      <c r="G9" s="1">
        <v>666902.94595268602</v>
      </c>
      <c r="H9" s="1">
        <v>0</v>
      </c>
      <c r="I9" s="1">
        <v>0</v>
      </c>
      <c r="J9" s="1">
        <v>116005.848763628</v>
      </c>
      <c r="K9" s="1">
        <v>116005.848763628</v>
      </c>
      <c r="L9" s="1">
        <v>538358.61751663301</v>
      </c>
      <c r="M9" s="1">
        <v>128544.32843605299</v>
      </c>
      <c r="N9" s="1">
        <v>116005.848763628</v>
      </c>
      <c r="O9" s="1">
        <v>782908.79471631395</v>
      </c>
    </row>
    <row r="10" spans="1:15" x14ac:dyDescent="0.25">
      <c r="A10" s="1" t="s">
        <v>46</v>
      </c>
      <c r="B10" t="s">
        <v>60</v>
      </c>
      <c r="C10" t="s">
        <v>8</v>
      </c>
      <c r="D10" s="1">
        <v>617666.37282333698</v>
      </c>
      <c r="E10" s="1">
        <v>149135.07629195901</v>
      </c>
      <c r="F10" s="1">
        <v>0</v>
      </c>
      <c r="G10" s="1">
        <v>766801.44911529496</v>
      </c>
      <c r="H10" s="1">
        <v>0</v>
      </c>
      <c r="I10" s="1">
        <v>0</v>
      </c>
      <c r="J10" s="1">
        <v>289712.28697831102</v>
      </c>
      <c r="K10" s="1">
        <v>289712.28697831102</v>
      </c>
      <c r="L10" s="1">
        <v>617666.37282333698</v>
      </c>
      <c r="M10" s="1">
        <v>149135.07629195901</v>
      </c>
      <c r="N10" s="1">
        <v>289712.28697831102</v>
      </c>
      <c r="O10" s="1">
        <v>1056513.7360936101</v>
      </c>
    </row>
    <row r="11" spans="1:15" x14ac:dyDescent="0.25">
      <c r="A11" s="1" t="s">
        <v>46</v>
      </c>
      <c r="B11" t="s">
        <v>35</v>
      </c>
      <c r="C11" t="s">
        <v>9</v>
      </c>
      <c r="D11" s="1">
        <v>0</v>
      </c>
      <c r="E11" s="1">
        <v>0</v>
      </c>
      <c r="F11" s="1">
        <v>11284.188313275599</v>
      </c>
      <c r="G11" s="1">
        <v>11284.188313275599</v>
      </c>
      <c r="H11" s="1">
        <v>450010.31967408198</v>
      </c>
      <c r="I11" s="1">
        <v>42939.802932386498</v>
      </c>
      <c r="J11" s="1">
        <v>0</v>
      </c>
      <c r="K11" s="1">
        <v>492950.12260646903</v>
      </c>
      <c r="L11" s="1">
        <v>450010.31967408198</v>
      </c>
      <c r="M11" s="1">
        <v>42939.802932386498</v>
      </c>
      <c r="N11" s="1">
        <v>11284.188313275599</v>
      </c>
      <c r="O11" s="1">
        <v>504234.31091974402</v>
      </c>
    </row>
    <row r="12" spans="1:15" x14ac:dyDescent="0.25">
      <c r="A12" s="1" t="s">
        <v>46</v>
      </c>
      <c r="B12" t="s">
        <v>60</v>
      </c>
      <c r="C12" t="s">
        <v>10</v>
      </c>
      <c r="D12" s="1">
        <v>0</v>
      </c>
      <c r="E12" s="1">
        <v>0</v>
      </c>
      <c r="F12" s="1">
        <v>13381.9711702533</v>
      </c>
      <c r="G12" s="1">
        <v>13381.9711702533</v>
      </c>
      <c r="H12" s="1">
        <v>501179.31990668603</v>
      </c>
      <c r="I12" s="1">
        <v>36023.525362033201</v>
      </c>
      <c r="J12" s="1">
        <v>0</v>
      </c>
      <c r="K12" s="1">
        <v>537202.84526871901</v>
      </c>
      <c r="L12" s="1">
        <v>501179.31990668603</v>
      </c>
      <c r="M12" s="1">
        <v>36023.525362033201</v>
      </c>
      <c r="N12" s="1">
        <v>13381.9711702533</v>
      </c>
      <c r="O12" s="1">
        <v>550584.81643897295</v>
      </c>
    </row>
    <row r="13" spans="1:15" x14ac:dyDescent="0.25">
      <c r="A13" s="1" t="s">
        <v>46</v>
      </c>
      <c r="B13" t="s">
        <v>60</v>
      </c>
      <c r="C13" t="s">
        <v>11</v>
      </c>
      <c r="D13" s="1">
        <v>0</v>
      </c>
      <c r="E13" s="1">
        <v>0</v>
      </c>
      <c r="F13" s="1">
        <v>31075.947311040502</v>
      </c>
      <c r="G13" s="1">
        <v>31075.947311040502</v>
      </c>
      <c r="H13" s="1">
        <v>489131.95532865101</v>
      </c>
      <c r="I13" s="1">
        <v>25559.016962804999</v>
      </c>
      <c r="J13" s="1">
        <v>0</v>
      </c>
      <c r="K13" s="1">
        <v>514690.97229145601</v>
      </c>
      <c r="L13" s="1">
        <v>489131.95532865101</v>
      </c>
      <c r="M13" s="1">
        <v>25559.016962804999</v>
      </c>
      <c r="N13" s="1">
        <v>31075.947311040502</v>
      </c>
      <c r="O13" s="1">
        <v>545766.91960249597</v>
      </c>
    </row>
    <row r="14" spans="1:15" x14ac:dyDescent="0.25">
      <c r="A14" s="1" t="s">
        <v>46</v>
      </c>
      <c r="B14" t="s">
        <v>36</v>
      </c>
      <c r="C14" t="s">
        <v>6</v>
      </c>
      <c r="D14" s="17">
        <v>514595.34313024598</v>
      </c>
      <c r="E14" s="17">
        <v>124573.74300287</v>
      </c>
      <c r="F14" s="1">
        <v>0</v>
      </c>
      <c r="G14" s="17">
        <v>639169.08613311604</v>
      </c>
      <c r="H14" s="1">
        <v>0</v>
      </c>
      <c r="I14" s="1">
        <v>0</v>
      </c>
      <c r="J14" s="17">
        <v>30741.608086411801</v>
      </c>
      <c r="K14" s="17">
        <v>30741.608086411801</v>
      </c>
      <c r="L14" s="17">
        <v>514595.34313024598</v>
      </c>
      <c r="M14" s="17">
        <v>124573.74300287</v>
      </c>
      <c r="N14" s="17">
        <v>30741.608086411801</v>
      </c>
      <c r="O14" s="17">
        <v>669910.694219528</v>
      </c>
    </row>
    <row r="15" spans="1:15" x14ac:dyDescent="0.25">
      <c r="A15" s="1" t="s">
        <v>46</v>
      </c>
      <c r="B15" t="s">
        <v>36</v>
      </c>
      <c r="C15" t="s">
        <v>7</v>
      </c>
      <c r="D15" s="17">
        <v>538571.27767159895</v>
      </c>
      <c r="E15" s="17">
        <v>128527.672174689</v>
      </c>
      <c r="F15" s="1">
        <v>0</v>
      </c>
      <c r="G15" s="17">
        <v>667098.949846289</v>
      </c>
      <c r="H15" s="1">
        <v>0</v>
      </c>
      <c r="I15" s="1">
        <v>0</v>
      </c>
      <c r="J15" s="17">
        <v>116034.810828585</v>
      </c>
      <c r="K15" s="17">
        <v>116034.810828585</v>
      </c>
      <c r="L15" s="17">
        <v>538571.27767159895</v>
      </c>
      <c r="M15" s="17">
        <v>128527.672174689</v>
      </c>
      <c r="N15" s="17">
        <v>116034.810828585</v>
      </c>
      <c r="O15" s="17">
        <v>783133.76067487395</v>
      </c>
    </row>
    <row r="16" spans="1:15" x14ac:dyDescent="0.25">
      <c r="A16" s="1" t="s">
        <v>46</v>
      </c>
      <c r="B16" t="s">
        <v>36</v>
      </c>
      <c r="C16" t="s">
        <v>8</v>
      </c>
      <c r="D16" s="17">
        <v>618587.20895537501</v>
      </c>
      <c r="E16" s="17">
        <v>149145.69073518401</v>
      </c>
      <c r="F16" s="1">
        <v>0</v>
      </c>
      <c r="G16" s="17">
        <v>767732.89969055902</v>
      </c>
      <c r="H16" s="1">
        <v>0</v>
      </c>
      <c r="I16" s="1">
        <v>0</v>
      </c>
      <c r="J16" s="17">
        <v>290241.40619623702</v>
      </c>
      <c r="K16" s="17">
        <v>290241.40619623702</v>
      </c>
      <c r="L16" s="17">
        <v>618587.20895537501</v>
      </c>
      <c r="M16" s="17">
        <v>149145.69073518401</v>
      </c>
      <c r="N16" s="17">
        <v>290241.40619623702</v>
      </c>
      <c r="O16" s="17">
        <v>1057974.3058867999</v>
      </c>
    </row>
    <row r="17" spans="1:16" x14ac:dyDescent="0.25">
      <c r="A17" s="1" t="s">
        <v>46</v>
      </c>
      <c r="B17" t="s">
        <v>36</v>
      </c>
      <c r="C17" t="s">
        <v>9</v>
      </c>
      <c r="D17" s="1">
        <v>0</v>
      </c>
      <c r="E17" s="1">
        <v>0</v>
      </c>
      <c r="F17" s="17">
        <v>11284.428118150599</v>
      </c>
      <c r="G17" s="17">
        <v>11284.428118150599</v>
      </c>
      <c r="H17" s="17">
        <v>450065.00546175998</v>
      </c>
      <c r="I17" s="17">
        <v>42919.019344078297</v>
      </c>
      <c r="J17" s="17">
        <v>0</v>
      </c>
      <c r="K17" s="17">
        <v>492984.024805839</v>
      </c>
      <c r="L17" s="17">
        <v>450065.00546175998</v>
      </c>
      <c r="M17" s="17">
        <v>42919.019344078297</v>
      </c>
      <c r="N17" s="17">
        <v>11284.428118150599</v>
      </c>
      <c r="O17" s="17">
        <v>504268.45292398898</v>
      </c>
    </row>
    <row r="18" spans="1:16" x14ac:dyDescent="0.25">
      <c r="A18" s="1" t="s">
        <v>46</v>
      </c>
      <c r="B18" t="s">
        <v>36</v>
      </c>
      <c r="C18" t="s">
        <v>10</v>
      </c>
      <c r="D18" s="1">
        <v>0</v>
      </c>
      <c r="E18" s="1">
        <v>0</v>
      </c>
      <c r="F18" s="17">
        <v>13383.904010013999</v>
      </c>
      <c r="G18" s="17">
        <v>13383.904010013999</v>
      </c>
      <c r="H18" s="17">
        <v>501629.22758746601</v>
      </c>
      <c r="I18" s="17">
        <v>35962.209441473598</v>
      </c>
      <c r="J18" s="17">
        <v>0</v>
      </c>
      <c r="K18" s="17">
        <v>537591.43702893902</v>
      </c>
      <c r="L18" s="17">
        <v>501629.22758746601</v>
      </c>
      <c r="M18" s="17">
        <v>35962.209441473598</v>
      </c>
      <c r="N18" s="17">
        <v>13383.904010013999</v>
      </c>
      <c r="O18" s="17">
        <v>550975.34103895305</v>
      </c>
    </row>
    <row r="19" spans="1:16" x14ac:dyDescent="0.25">
      <c r="A19" s="1" t="s">
        <v>46</v>
      </c>
      <c r="B19" t="s">
        <v>36</v>
      </c>
      <c r="C19" t="s">
        <v>11</v>
      </c>
      <c r="D19" s="1">
        <v>0</v>
      </c>
      <c r="E19" s="1">
        <v>0</v>
      </c>
      <c r="F19" s="17">
        <v>31108.031770882098</v>
      </c>
      <c r="G19" s="17">
        <v>31108.031770882098</v>
      </c>
      <c r="H19" s="17">
        <v>490055.73450333299</v>
      </c>
      <c r="I19" s="17">
        <v>25474.766247305899</v>
      </c>
      <c r="J19" s="17">
        <v>0</v>
      </c>
      <c r="K19" s="17">
        <v>515530.50075063901</v>
      </c>
      <c r="L19" s="17">
        <v>490055.73450333299</v>
      </c>
      <c r="M19" s="17">
        <v>25474.766247305899</v>
      </c>
      <c r="N19" s="17">
        <v>31108.031770882098</v>
      </c>
      <c r="O19" s="17">
        <v>546638.53252152097</v>
      </c>
    </row>
    <row r="20" spans="1:16" x14ac:dyDescent="0.25">
      <c r="A20" s="1" t="s">
        <v>46</v>
      </c>
      <c r="B20" t="s">
        <v>37</v>
      </c>
      <c r="C20" t="s">
        <v>6</v>
      </c>
      <c r="D20" s="17">
        <v>513307.44511608599</v>
      </c>
      <c r="E20" s="17">
        <v>124710.98327200999</v>
      </c>
      <c r="F20" s="1">
        <v>0</v>
      </c>
      <c r="G20" s="17">
        <v>638018.42838809604</v>
      </c>
      <c r="H20" s="1">
        <v>0</v>
      </c>
      <c r="I20" s="1">
        <v>0</v>
      </c>
      <c r="J20" s="17">
        <v>30701.600643311402</v>
      </c>
      <c r="K20" s="17">
        <v>30701.600643311402</v>
      </c>
      <c r="L20" s="17">
        <v>513307.44511608599</v>
      </c>
      <c r="M20" s="17">
        <v>124710.98327200999</v>
      </c>
      <c r="N20" s="17">
        <v>30701.600643311402</v>
      </c>
      <c r="O20" s="17">
        <v>668720.02903140697</v>
      </c>
    </row>
    <row r="21" spans="1:16" x14ac:dyDescent="0.25">
      <c r="A21" s="1" t="s">
        <v>46</v>
      </c>
      <c r="B21" t="s">
        <v>37</v>
      </c>
      <c r="C21" t="s">
        <v>7</v>
      </c>
      <c r="D21" s="17">
        <v>537418.71459222201</v>
      </c>
      <c r="E21" s="17">
        <v>128556.79199974801</v>
      </c>
      <c r="F21" s="1">
        <v>0</v>
      </c>
      <c r="G21" s="17">
        <v>665975.50659196998</v>
      </c>
      <c r="H21" s="1">
        <v>0</v>
      </c>
      <c r="I21" s="1">
        <v>0</v>
      </c>
      <c r="J21" s="17">
        <v>115900.100731393</v>
      </c>
      <c r="K21" s="17">
        <v>115900.100731393</v>
      </c>
      <c r="L21" s="17">
        <v>537418.71459222201</v>
      </c>
      <c r="M21" s="17">
        <v>128556.79199974801</v>
      </c>
      <c r="N21" s="17">
        <v>115900.100731393</v>
      </c>
      <c r="O21" s="17">
        <v>781875.60732336296</v>
      </c>
    </row>
    <row r="22" spans="1:16" x14ac:dyDescent="0.25">
      <c r="A22" s="1" t="s">
        <v>46</v>
      </c>
      <c r="B22" t="s">
        <v>37</v>
      </c>
      <c r="C22" t="s">
        <v>8</v>
      </c>
      <c r="D22" s="17">
        <v>617476.60137833003</v>
      </c>
      <c r="E22" s="17">
        <v>149038.528120692</v>
      </c>
      <c r="F22" s="1">
        <v>0</v>
      </c>
      <c r="G22" s="17">
        <v>766515.12949902203</v>
      </c>
      <c r="H22" s="1">
        <v>0</v>
      </c>
      <c r="I22" s="1">
        <v>0</v>
      </c>
      <c r="J22" s="17">
        <v>289764.78262661397</v>
      </c>
      <c r="K22" s="17">
        <v>289764.78262661397</v>
      </c>
      <c r="L22" s="17">
        <v>617476.60137833003</v>
      </c>
      <c r="M22" s="17">
        <v>149038.528120692</v>
      </c>
      <c r="N22" s="17">
        <v>289764.78262661397</v>
      </c>
      <c r="O22" s="17">
        <v>1056279.9121256401</v>
      </c>
    </row>
    <row r="23" spans="1:16" x14ac:dyDescent="0.25">
      <c r="A23" s="1" t="s">
        <v>46</v>
      </c>
      <c r="B23" t="s">
        <v>37</v>
      </c>
      <c r="C23" t="s">
        <v>9</v>
      </c>
      <c r="D23" s="1">
        <v>0</v>
      </c>
      <c r="E23" s="1">
        <v>0</v>
      </c>
      <c r="F23" s="17">
        <v>11272.8687576594</v>
      </c>
      <c r="G23" s="17">
        <v>11272.8687576594</v>
      </c>
      <c r="H23" s="17">
        <v>449077.455695351</v>
      </c>
      <c r="I23" s="17">
        <v>42968.199250807702</v>
      </c>
      <c r="J23" s="17">
        <v>0</v>
      </c>
      <c r="K23" s="17">
        <v>492045.65494615899</v>
      </c>
      <c r="L23" s="17">
        <v>449077.455695351</v>
      </c>
      <c r="M23" s="17">
        <v>42968.199250807702</v>
      </c>
      <c r="N23" s="17">
        <v>11272.8687576594</v>
      </c>
      <c r="O23" s="17">
        <v>503318.52370381798</v>
      </c>
    </row>
    <row r="24" spans="1:16" x14ac:dyDescent="0.25">
      <c r="A24" s="1" t="s">
        <v>46</v>
      </c>
      <c r="B24" t="s">
        <v>37</v>
      </c>
      <c r="C24" t="s">
        <v>10</v>
      </c>
      <c r="D24" s="1">
        <v>0</v>
      </c>
      <c r="E24" s="1">
        <v>0</v>
      </c>
      <c r="F24" s="17">
        <v>13367.217248618201</v>
      </c>
      <c r="G24" s="17">
        <v>13367.217248618201</v>
      </c>
      <c r="H24" s="17">
        <v>500631.01394670998</v>
      </c>
      <c r="I24" s="17">
        <v>35986.555780103998</v>
      </c>
      <c r="J24" s="17">
        <v>0</v>
      </c>
      <c r="K24" s="17">
        <v>536617.56972681405</v>
      </c>
      <c r="L24" s="17">
        <v>500631.01394670998</v>
      </c>
      <c r="M24" s="17">
        <v>35986.555780103998</v>
      </c>
      <c r="N24" s="17">
        <v>13367.217248618201</v>
      </c>
      <c r="O24" s="17">
        <v>549984.78697543195</v>
      </c>
    </row>
    <row r="25" spans="1:16" x14ac:dyDescent="0.25">
      <c r="A25" s="1" t="s">
        <v>46</v>
      </c>
      <c r="B25" t="s">
        <v>37</v>
      </c>
      <c r="C25" t="s">
        <v>11</v>
      </c>
      <c r="D25" s="1">
        <v>0</v>
      </c>
      <c r="E25" s="1">
        <v>0</v>
      </c>
      <c r="F25" s="17">
        <v>31063.318358928402</v>
      </c>
      <c r="G25" s="17">
        <v>31063.318358928402</v>
      </c>
      <c r="H25" s="17">
        <v>489144.82313833298</v>
      </c>
      <c r="I25" s="17">
        <v>25482.685637574101</v>
      </c>
      <c r="J25" s="17">
        <v>0</v>
      </c>
      <c r="K25" s="17">
        <v>514627.50877590798</v>
      </c>
      <c r="L25" s="17">
        <v>489144.82313833298</v>
      </c>
      <c r="M25" s="17">
        <v>25482.685637574101</v>
      </c>
      <c r="N25" s="17">
        <v>31063.318358928402</v>
      </c>
      <c r="O25" s="17">
        <v>545690.827134836</v>
      </c>
    </row>
    <row r="26" spans="1:16" x14ac:dyDescent="0.25">
      <c r="A26" s="1" t="s">
        <v>46</v>
      </c>
      <c r="B26" t="s">
        <v>38</v>
      </c>
      <c r="C26" t="s">
        <v>6</v>
      </c>
      <c r="D26" s="17">
        <v>513734.87061297998</v>
      </c>
      <c r="E26" s="17">
        <v>124333.902427307</v>
      </c>
      <c r="F26" s="1">
        <v>0</v>
      </c>
      <c r="G26" s="17">
        <v>638068.77304028603</v>
      </c>
      <c r="H26" s="1">
        <v>0</v>
      </c>
      <c r="I26" s="1">
        <v>0</v>
      </c>
      <c r="J26" s="17">
        <v>30694.8907356009</v>
      </c>
      <c r="K26" s="17">
        <v>30694.8907356009</v>
      </c>
      <c r="L26" s="17">
        <v>513734.87061297998</v>
      </c>
      <c r="M26" s="17">
        <v>124333.902427307</v>
      </c>
      <c r="N26" s="17">
        <v>30694.8907356009</v>
      </c>
      <c r="O26" s="17">
        <v>668763.66377588699</v>
      </c>
    </row>
    <row r="27" spans="1:16" x14ac:dyDescent="0.25">
      <c r="A27" s="1" t="s">
        <v>46</v>
      </c>
      <c r="B27" t="s">
        <v>38</v>
      </c>
      <c r="C27" t="s">
        <v>7</v>
      </c>
      <c r="D27" s="17">
        <v>538148.07490439003</v>
      </c>
      <c r="E27" s="17">
        <v>127935.811709553</v>
      </c>
      <c r="F27" s="1">
        <v>0</v>
      </c>
      <c r="G27" s="17">
        <v>666083.88661394303</v>
      </c>
      <c r="H27" s="1">
        <v>0</v>
      </c>
      <c r="I27" s="1">
        <v>0</v>
      </c>
      <c r="J27" s="17">
        <v>115897.24073881999</v>
      </c>
      <c r="K27" s="17">
        <v>115897.24073881999</v>
      </c>
      <c r="L27" s="17">
        <v>538148.07490439003</v>
      </c>
      <c r="M27" s="17">
        <v>127935.811709553</v>
      </c>
      <c r="N27" s="17">
        <v>115897.24073881999</v>
      </c>
      <c r="O27" s="17">
        <v>781981.12735276204</v>
      </c>
    </row>
    <row r="28" spans="1:16" x14ac:dyDescent="0.25">
      <c r="A28" s="1" t="s">
        <v>46</v>
      </c>
      <c r="B28" t="s">
        <v>38</v>
      </c>
      <c r="C28" t="s">
        <v>8</v>
      </c>
      <c r="D28" s="17">
        <v>617215.28961718199</v>
      </c>
      <c r="E28" s="17">
        <v>148590.415816141</v>
      </c>
      <c r="F28" s="1">
        <v>0</v>
      </c>
      <c r="G28" s="17">
        <v>765805.70543332398</v>
      </c>
      <c r="H28" s="1">
        <v>0</v>
      </c>
      <c r="I28" s="1">
        <v>0</v>
      </c>
      <c r="J28" s="17">
        <v>289559.23201397702</v>
      </c>
      <c r="K28" s="17">
        <v>289559.23201397702</v>
      </c>
      <c r="L28" s="17">
        <v>617215.28961718199</v>
      </c>
      <c r="M28" s="17">
        <v>148590.415816141</v>
      </c>
      <c r="N28" s="17">
        <v>289559.23201397702</v>
      </c>
      <c r="O28" s="17">
        <v>1055364.9374472999</v>
      </c>
    </row>
    <row r="29" spans="1:16" x14ac:dyDescent="0.25">
      <c r="A29" s="1" t="s">
        <v>46</v>
      </c>
      <c r="B29" t="s">
        <v>38</v>
      </c>
      <c r="C29" t="s">
        <v>9</v>
      </c>
      <c r="D29" s="1">
        <v>0</v>
      </c>
      <c r="E29" s="1">
        <v>0</v>
      </c>
      <c r="F29" s="17">
        <v>11279.185483064901</v>
      </c>
      <c r="G29" s="17">
        <v>11279.185483064901</v>
      </c>
      <c r="H29" s="17">
        <v>449202.00724905502</v>
      </c>
      <c r="I29" s="17">
        <v>42714.565769879599</v>
      </c>
      <c r="J29" s="17">
        <v>0</v>
      </c>
      <c r="K29" s="17">
        <v>491916.573018934</v>
      </c>
      <c r="L29" s="17">
        <v>449202.00724905502</v>
      </c>
      <c r="M29" s="17">
        <v>42714.565769879599</v>
      </c>
      <c r="N29" s="17">
        <v>11279.185483064901</v>
      </c>
      <c r="O29" s="17">
        <v>503195.75850199902</v>
      </c>
    </row>
    <row r="30" spans="1:16" x14ac:dyDescent="0.25">
      <c r="A30" s="1" t="s">
        <v>46</v>
      </c>
      <c r="B30" t="s">
        <v>38</v>
      </c>
      <c r="C30" t="s">
        <v>10</v>
      </c>
      <c r="D30" s="1">
        <v>0</v>
      </c>
      <c r="E30" s="1">
        <v>0</v>
      </c>
      <c r="F30" s="17">
        <v>13382.300619433499</v>
      </c>
      <c r="G30" s="17">
        <v>13382.300619433499</v>
      </c>
      <c r="H30" s="17">
        <v>500496.64111696498</v>
      </c>
      <c r="I30" s="17">
        <v>35937.4989694822</v>
      </c>
      <c r="J30" s="17">
        <v>0</v>
      </c>
      <c r="K30" s="17">
        <v>536434.14008644805</v>
      </c>
      <c r="L30" s="17">
        <v>500496.64111696498</v>
      </c>
      <c r="M30" s="17">
        <v>35937.4989694822</v>
      </c>
      <c r="N30" s="17">
        <v>13382.300619433499</v>
      </c>
      <c r="O30" s="17">
        <v>549816.44070588099</v>
      </c>
    </row>
    <row r="31" spans="1:16" x14ac:dyDescent="0.25">
      <c r="A31" s="1" t="s">
        <v>46</v>
      </c>
      <c r="B31" t="s">
        <v>38</v>
      </c>
      <c r="C31" t="s">
        <v>11</v>
      </c>
      <c r="D31" s="1">
        <v>0</v>
      </c>
      <c r="E31" s="1">
        <v>0</v>
      </c>
      <c r="F31" s="17">
        <v>31083.454320829402</v>
      </c>
      <c r="G31" s="17">
        <v>31083.454320829402</v>
      </c>
      <c r="H31" s="17">
        <v>488824.14322949399</v>
      </c>
      <c r="I31" s="17">
        <v>25522.437264578199</v>
      </c>
      <c r="J31" s="17">
        <v>0</v>
      </c>
      <c r="K31" s="17">
        <v>514346.580494072</v>
      </c>
      <c r="L31" s="17">
        <v>488824.14322949399</v>
      </c>
      <c r="M31" s="17">
        <v>25522.437264578199</v>
      </c>
      <c r="N31" s="17">
        <v>31083.454320829402</v>
      </c>
      <c r="O31" s="17">
        <v>545430.034814902</v>
      </c>
    </row>
    <row r="32" spans="1:16" s="21" customFormat="1" x14ac:dyDescent="0.25">
      <c r="A32" s="21" t="s">
        <v>46</v>
      </c>
      <c r="B32" t="s">
        <v>39</v>
      </c>
      <c r="C32" t="s">
        <v>6</v>
      </c>
      <c r="D32" s="17">
        <v>513612.28371064097</v>
      </c>
      <c r="E32" s="17">
        <v>124371.90366406601</v>
      </c>
      <c r="F32" s="1">
        <v>0</v>
      </c>
      <c r="G32" s="17">
        <v>637984.18737470696</v>
      </c>
      <c r="H32" s="1">
        <v>0</v>
      </c>
      <c r="I32" s="1">
        <v>0</v>
      </c>
      <c r="J32" s="17">
        <v>30680.532572403499</v>
      </c>
      <c r="K32" s="17">
        <v>30680.532572403499</v>
      </c>
      <c r="L32" s="17">
        <v>513612.28371064097</v>
      </c>
      <c r="M32" s="17">
        <v>124371.90366406601</v>
      </c>
      <c r="N32" s="17">
        <v>30680.532572403499</v>
      </c>
      <c r="O32" s="17">
        <v>668664.71994711098</v>
      </c>
      <c r="P32" s="17"/>
    </row>
    <row r="33" spans="1:16" s="21" customFormat="1" x14ac:dyDescent="0.25">
      <c r="A33" s="21" t="s">
        <v>46</v>
      </c>
      <c r="B33" t="s">
        <v>39</v>
      </c>
      <c r="C33" t="s">
        <v>7</v>
      </c>
      <c r="D33" s="17">
        <v>537853.48850785405</v>
      </c>
      <c r="E33" s="17">
        <v>128012.484683253</v>
      </c>
      <c r="F33" s="1">
        <v>0</v>
      </c>
      <c r="G33" s="17">
        <v>665865.97319110704</v>
      </c>
      <c r="H33" s="1">
        <v>0</v>
      </c>
      <c r="I33" s="1">
        <v>0</v>
      </c>
      <c r="J33" s="17">
        <v>115874.572277931</v>
      </c>
      <c r="K33" s="17">
        <v>115874.572277931</v>
      </c>
      <c r="L33" s="17">
        <v>537853.48850785405</v>
      </c>
      <c r="M33" s="17">
        <v>128012.484683253</v>
      </c>
      <c r="N33" s="17">
        <v>115874.572277931</v>
      </c>
      <c r="O33" s="17">
        <v>781740.54546903796</v>
      </c>
      <c r="P33" s="17"/>
    </row>
    <row r="34" spans="1:16" s="21" customFormat="1" x14ac:dyDescent="0.25">
      <c r="A34" s="21" t="s">
        <v>46</v>
      </c>
      <c r="B34" t="s">
        <v>39</v>
      </c>
      <c r="C34" t="s">
        <v>8</v>
      </c>
      <c r="D34" s="17">
        <v>616231.80129859399</v>
      </c>
      <c r="E34" s="17">
        <v>148656.674697087</v>
      </c>
      <c r="F34" s="1">
        <v>0</v>
      </c>
      <c r="G34" s="17">
        <v>764888.47599568102</v>
      </c>
      <c r="H34" s="1">
        <v>0</v>
      </c>
      <c r="I34" s="1">
        <v>0</v>
      </c>
      <c r="J34" s="17">
        <v>289074.06647275499</v>
      </c>
      <c r="K34" s="17">
        <v>289074.06647275499</v>
      </c>
      <c r="L34" s="17">
        <v>616231.80129859399</v>
      </c>
      <c r="M34" s="17">
        <v>148656.674697087</v>
      </c>
      <c r="N34" s="17">
        <v>289074.06647275499</v>
      </c>
      <c r="O34" s="17">
        <v>1053962.54246844</v>
      </c>
      <c r="P34" s="17"/>
    </row>
    <row r="35" spans="1:16" s="21" customFormat="1" x14ac:dyDescent="0.25">
      <c r="A35" s="21" t="s">
        <v>46</v>
      </c>
      <c r="B35" t="s">
        <v>39</v>
      </c>
      <c r="C35" t="s">
        <v>9</v>
      </c>
      <c r="D35" s="1">
        <v>0</v>
      </c>
      <c r="E35" s="1">
        <v>0</v>
      </c>
      <c r="F35" s="17">
        <v>11278.7012110631</v>
      </c>
      <c r="G35" s="17">
        <v>11278.7012110631</v>
      </c>
      <c r="H35" s="17">
        <v>449161.74239653599</v>
      </c>
      <c r="I35" s="17">
        <v>42726.515927570297</v>
      </c>
      <c r="J35" s="17">
        <v>0</v>
      </c>
      <c r="K35" s="17">
        <v>491888.25832410698</v>
      </c>
      <c r="L35" s="17">
        <v>449161.74239653599</v>
      </c>
      <c r="M35" s="17">
        <v>42726.515927570297</v>
      </c>
      <c r="N35" s="17">
        <v>11278.7012110631</v>
      </c>
      <c r="O35" s="17">
        <v>503166.95953517</v>
      </c>
      <c r="P35" s="17"/>
    </row>
    <row r="36" spans="1:16" s="21" customFormat="1" x14ac:dyDescent="0.25">
      <c r="A36" s="21" t="s">
        <v>46</v>
      </c>
      <c r="B36" t="s">
        <v>39</v>
      </c>
      <c r="C36" t="s">
        <v>10</v>
      </c>
      <c r="D36" s="1">
        <v>0</v>
      </c>
      <c r="E36" s="1">
        <v>0</v>
      </c>
      <c r="F36" s="17">
        <v>13379.107051228801</v>
      </c>
      <c r="G36" s="17">
        <v>13379.107051228801</v>
      </c>
      <c r="H36" s="17">
        <v>500091.59572449903</v>
      </c>
      <c r="I36" s="17">
        <v>35979.948828223001</v>
      </c>
      <c r="J36" s="17">
        <v>0</v>
      </c>
      <c r="K36" s="17">
        <v>536071.54455272201</v>
      </c>
      <c r="L36" s="17">
        <v>500091.59572449903</v>
      </c>
      <c r="M36" s="17">
        <v>35979.948828223001</v>
      </c>
      <c r="N36" s="17">
        <v>13379.107051228801</v>
      </c>
      <c r="O36" s="17">
        <v>549450.651603951</v>
      </c>
      <c r="P36" s="17"/>
    </row>
    <row r="37" spans="1:16" s="21" customFormat="1" x14ac:dyDescent="0.25">
      <c r="A37" s="21" t="s">
        <v>46</v>
      </c>
      <c r="B37" t="s">
        <v>39</v>
      </c>
      <c r="C37" t="s">
        <v>11</v>
      </c>
      <c r="D37" s="1">
        <v>0</v>
      </c>
      <c r="E37" s="1">
        <v>0</v>
      </c>
      <c r="F37" s="17">
        <v>31045.989646482201</v>
      </c>
      <c r="G37" s="17">
        <v>31045.989646482201</v>
      </c>
      <c r="H37" s="17">
        <v>487966.24778218399</v>
      </c>
      <c r="I37" s="17">
        <v>25585.782319924401</v>
      </c>
      <c r="J37" s="17">
        <v>0</v>
      </c>
      <c r="K37" s="17">
        <v>513552.03010210802</v>
      </c>
      <c r="L37" s="17">
        <v>487966.24778218399</v>
      </c>
      <c r="M37" s="17">
        <v>25585.782319924401</v>
      </c>
      <c r="N37" s="17">
        <v>31045.989646482201</v>
      </c>
      <c r="O37" s="17">
        <v>544598.01974858996</v>
      </c>
      <c r="P37" s="17"/>
    </row>
    <row r="38" spans="1:16" s="17" customFormat="1" x14ac:dyDescent="0.25">
      <c r="A38" s="17" t="s">
        <v>46</v>
      </c>
      <c r="B38" s="19" t="s">
        <v>59</v>
      </c>
      <c r="C38" s="19" t="s">
        <v>6</v>
      </c>
      <c r="D38" s="17">
        <v>513582.27876779903</v>
      </c>
      <c r="E38" s="17">
        <v>124351.888991453</v>
      </c>
      <c r="F38" s="1">
        <v>0</v>
      </c>
      <c r="G38" s="17">
        <v>637934.16775925097</v>
      </c>
      <c r="H38" s="1">
        <v>0</v>
      </c>
      <c r="I38" s="1">
        <v>0</v>
      </c>
      <c r="J38" s="17">
        <v>30662.587455808902</v>
      </c>
      <c r="K38" s="17">
        <v>30662.587455808902</v>
      </c>
      <c r="L38" s="17">
        <v>513582.27876779903</v>
      </c>
      <c r="M38" s="17">
        <v>124351.888991453</v>
      </c>
      <c r="N38" s="17">
        <v>30662.587455808902</v>
      </c>
      <c r="O38" s="17">
        <v>668596.75521505997</v>
      </c>
    </row>
    <row r="39" spans="1:16" s="17" customFormat="1" x14ac:dyDescent="0.25">
      <c r="A39" s="17" t="s">
        <v>46</v>
      </c>
      <c r="B39" s="19" t="s">
        <v>59</v>
      </c>
      <c r="C39" s="19" t="s">
        <v>7</v>
      </c>
      <c r="D39" s="17">
        <v>537778.61292425403</v>
      </c>
      <c r="E39" s="17">
        <v>127958.69910583401</v>
      </c>
      <c r="F39" s="1">
        <v>0</v>
      </c>
      <c r="G39" s="17">
        <v>665737.31203008804</v>
      </c>
      <c r="H39" s="1">
        <v>0</v>
      </c>
      <c r="I39" s="1">
        <v>0</v>
      </c>
      <c r="J39" s="17">
        <v>115851.147249702</v>
      </c>
      <c r="K39" s="17">
        <v>115851.147249702</v>
      </c>
      <c r="L39" s="17">
        <v>537778.61292425403</v>
      </c>
      <c r="M39" s="17">
        <v>127958.69910583401</v>
      </c>
      <c r="N39" s="17">
        <v>115851.147249702</v>
      </c>
      <c r="O39" s="17">
        <v>781588.45927979006</v>
      </c>
    </row>
    <row r="40" spans="1:16" s="17" customFormat="1" x14ac:dyDescent="0.25">
      <c r="A40" s="17" t="s">
        <v>46</v>
      </c>
      <c r="B40" s="19" t="s">
        <v>59</v>
      </c>
      <c r="C40" s="19" t="s">
        <v>8</v>
      </c>
      <c r="D40" s="17">
        <v>615955.91603189299</v>
      </c>
      <c r="E40" s="17">
        <v>148405.28544209301</v>
      </c>
      <c r="F40" s="1">
        <v>0</v>
      </c>
      <c r="G40" s="17">
        <v>764361.20147398498</v>
      </c>
      <c r="H40" s="1">
        <v>0</v>
      </c>
      <c r="I40" s="1">
        <v>0</v>
      </c>
      <c r="J40" s="17">
        <v>288476.62746051</v>
      </c>
      <c r="K40" s="17">
        <v>288476.62746051</v>
      </c>
      <c r="L40" s="17">
        <v>615955.91603189299</v>
      </c>
      <c r="M40" s="17">
        <v>148405.28544209301</v>
      </c>
      <c r="N40" s="17">
        <v>288476.62746051</v>
      </c>
      <c r="O40" s="17">
        <v>1052837.8289345</v>
      </c>
    </row>
    <row r="41" spans="1:16" s="17" customFormat="1" x14ac:dyDescent="0.25">
      <c r="A41" s="17" t="s">
        <v>46</v>
      </c>
      <c r="B41" s="19" t="s">
        <v>59</v>
      </c>
      <c r="C41" s="19" t="s">
        <v>9</v>
      </c>
      <c r="D41" s="1">
        <v>0</v>
      </c>
      <c r="E41" s="1">
        <v>0</v>
      </c>
      <c r="F41" s="17">
        <v>11278.584442507101</v>
      </c>
      <c r="G41" s="17">
        <v>11278.584442507101</v>
      </c>
      <c r="H41" s="17">
        <v>449127.63469164103</v>
      </c>
      <c r="I41" s="17">
        <v>42733.069448557399</v>
      </c>
      <c r="J41" s="17">
        <v>0</v>
      </c>
      <c r="K41" s="17">
        <v>491860.70414019801</v>
      </c>
      <c r="L41" s="17">
        <v>449127.63469164103</v>
      </c>
      <c r="M41" s="17">
        <v>42733.069448557399</v>
      </c>
      <c r="N41" s="17">
        <v>11278.584442507101</v>
      </c>
      <c r="O41" s="17">
        <v>503139.28858270502</v>
      </c>
    </row>
    <row r="42" spans="1:16" s="17" customFormat="1" x14ac:dyDescent="0.25">
      <c r="A42" s="17" t="s">
        <v>46</v>
      </c>
      <c r="B42" s="19" t="s">
        <v>59</v>
      </c>
      <c r="C42" s="19" t="s">
        <v>10</v>
      </c>
      <c r="D42" s="1">
        <v>0</v>
      </c>
      <c r="E42" s="1">
        <v>0</v>
      </c>
      <c r="F42" s="17">
        <v>13378.3434316033</v>
      </c>
      <c r="G42" s="17">
        <v>13378.3434316033</v>
      </c>
      <c r="H42" s="17">
        <v>499607.43151695398</v>
      </c>
      <c r="I42" s="17">
        <v>36036.9477380592</v>
      </c>
      <c r="J42" s="17">
        <v>0</v>
      </c>
      <c r="K42" s="17">
        <v>535644.37925501296</v>
      </c>
      <c r="L42" s="17">
        <v>499607.43151695398</v>
      </c>
      <c r="M42" s="17">
        <v>36036.9477380592</v>
      </c>
      <c r="N42" s="17">
        <v>13378.3434316033</v>
      </c>
      <c r="O42" s="17">
        <v>549022.72268661601</v>
      </c>
    </row>
    <row r="43" spans="1:16" s="17" customFormat="1" x14ac:dyDescent="0.25">
      <c r="A43" s="17" t="s">
        <v>46</v>
      </c>
      <c r="B43" s="19" t="s">
        <v>59</v>
      </c>
      <c r="C43" s="19" t="s">
        <v>11</v>
      </c>
      <c r="D43" s="1">
        <v>0</v>
      </c>
      <c r="E43" s="1">
        <v>0</v>
      </c>
      <c r="F43" s="17">
        <v>31035.451831815801</v>
      </c>
      <c r="G43" s="17">
        <v>31035.451831815801</v>
      </c>
      <c r="H43" s="17">
        <v>486936.54798127903</v>
      </c>
      <c r="I43" s="17">
        <v>25690.970624420599</v>
      </c>
      <c r="J43" s="17">
        <v>0</v>
      </c>
      <c r="K43" s="17">
        <v>512627.5186057</v>
      </c>
      <c r="L43" s="17">
        <v>486936.54798127903</v>
      </c>
      <c r="M43" s="17">
        <v>25690.970624420599</v>
      </c>
      <c r="N43" s="17">
        <v>31035.451831815801</v>
      </c>
      <c r="O43" s="17">
        <v>543662.97043751599</v>
      </c>
    </row>
    <row r="44" spans="1:16" x14ac:dyDescent="0.25">
      <c r="A44" s="1" t="s">
        <v>47</v>
      </c>
      <c r="B44" t="s">
        <v>36</v>
      </c>
      <c r="C44" t="s">
        <v>6</v>
      </c>
      <c r="D44" s="1">
        <f>D14-D8</f>
        <v>83.086031966959126</v>
      </c>
      <c r="E44" s="1">
        <f t="shared" ref="E44:O44" si="0">E14-E8</f>
        <v>-9.3810038239898859</v>
      </c>
      <c r="F44" s="1">
        <f t="shared" si="0"/>
        <v>0</v>
      </c>
      <c r="G44" s="1">
        <f t="shared" si="0"/>
        <v>73.705028142081574</v>
      </c>
      <c r="H44" s="1">
        <f t="shared" si="0"/>
        <v>0</v>
      </c>
      <c r="I44" s="1">
        <f t="shared" si="0"/>
        <v>0</v>
      </c>
      <c r="J44" s="1">
        <f t="shared" si="0"/>
        <v>17.20451340170257</v>
      </c>
      <c r="K44" s="1">
        <f t="shared" si="0"/>
        <v>17.20451340170257</v>
      </c>
      <c r="L44" s="1">
        <f t="shared" si="0"/>
        <v>83.086031966959126</v>
      </c>
      <c r="M44" s="1">
        <f t="shared" si="0"/>
        <v>-9.3810038239898859</v>
      </c>
      <c r="N44" s="1">
        <f t="shared" si="0"/>
        <v>17.20451340170257</v>
      </c>
      <c r="O44" s="1">
        <f t="shared" si="0"/>
        <v>90.909541544038802</v>
      </c>
    </row>
    <row r="45" spans="1:16" x14ac:dyDescent="0.25">
      <c r="A45" s="1" t="s">
        <v>47</v>
      </c>
      <c r="B45" t="s">
        <v>36</v>
      </c>
      <c r="C45" t="s">
        <v>7</v>
      </c>
      <c r="D45" s="1">
        <f t="shared" ref="D45:O45" si="1">D15-D9</f>
        <v>212.660154965939</v>
      </c>
      <c r="E45" s="1">
        <f t="shared" si="1"/>
        <v>-16.656261363998055</v>
      </c>
      <c r="F45" s="1">
        <f t="shared" si="1"/>
        <v>0</v>
      </c>
      <c r="G45" s="1">
        <f t="shared" si="1"/>
        <v>196.00389360298868</v>
      </c>
      <c r="H45" s="1">
        <f t="shared" si="1"/>
        <v>0</v>
      </c>
      <c r="I45" s="1">
        <f t="shared" si="1"/>
        <v>0</v>
      </c>
      <c r="J45" s="1">
        <f t="shared" si="1"/>
        <v>28.962064956998802</v>
      </c>
      <c r="K45" s="1">
        <f t="shared" si="1"/>
        <v>28.962064956998802</v>
      </c>
      <c r="L45" s="1">
        <f t="shared" si="1"/>
        <v>212.660154965939</v>
      </c>
      <c r="M45" s="1">
        <f t="shared" si="1"/>
        <v>-16.656261363998055</v>
      </c>
      <c r="N45" s="1">
        <f t="shared" si="1"/>
        <v>28.962064956998802</v>
      </c>
      <c r="O45" s="1">
        <f t="shared" si="1"/>
        <v>224.96595856000204</v>
      </c>
    </row>
    <row r="46" spans="1:16" x14ac:dyDescent="0.25">
      <c r="A46" s="1" t="s">
        <v>47</v>
      </c>
      <c r="B46" t="s">
        <v>36</v>
      </c>
      <c r="C46" t="s">
        <v>8</v>
      </c>
      <c r="D46" s="1">
        <f t="shared" ref="D46:O46" si="2">D16-D10</f>
        <v>920.83613203803543</v>
      </c>
      <c r="E46" s="1">
        <f t="shared" si="2"/>
        <v>10.614443225000286</v>
      </c>
      <c r="F46" s="1">
        <f t="shared" si="2"/>
        <v>0</v>
      </c>
      <c r="G46" s="1">
        <f t="shared" si="2"/>
        <v>931.45057526405435</v>
      </c>
      <c r="H46" s="1">
        <f t="shared" si="2"/>
        <v>0</v>
      </c>
      <c r="I46" s="1">
        <f t="shared" si="2"/>
        <v>0</v>
      </c>
      <c r="J46" s="1">
        <f t="shared" si="2"/>
        <v>529.11921792599605</v>
      </c>
      <c r="K46" s="1">
        <f t="shared" si="2"/>
        <v>529.11921792599605</v>
      </c>
      <c r="L46" s="1">
        <f t="shared" si="2"/>
        <v>920.83613203803543</v>
      </c>
      <c r="M46" s="1">
        <f t="shared" si="2"/>
        <v>10.614443225000286</v>
      </c>
      <c r="N46" s="1">
        <f t="shared" si="2"/>
        <v>529.11921792599605</v>
      </c>
      <c r="O46" s="1">
        <f t="shared" si="2"/>
        <v>1460.5697931898758</v>
      </c>
    </row>
    <row r="47" spans="1:16" x14ac:dyDescent="0.25">
      <c r="A47" s="1" t="s">
        <v>47</v>
      </c>
      <c r="B47" t="s">
        <v>36</v>
      </c>
      <c r="C47" t="s">
        <v>9</v>
      </c>
      <c r="D47" s="1">
        <f t="shared" ref="D47:O47" si="3">D17-D11</f>
        <v>0</v>
      </c>
      <c r="E47" s="1">
        <f t="shared" si="3"/>
        <v>0</v>
      </c>
      <c r="F47" s="1">
        <f t="shared" si="3"/>
        <v>0.23980487500011805</v>
      </c>
      <c r="G47" s="1">
        <f t="shared" si="3"/>
        <v>0.23980487500011805</v>
      </c>
      <c r="H47" s="1">
        <f t="shared" si="3"/>
        <v>54.685787677997723</v>
      </c>
      <c r="I47" s="1">
        <f t="shared" si="3"/>
        <v>-20.783588308200706</v>
      </c>
      <c r="J47" s="1">
        <f t="shared" si="3"/>
        <v>0</v>
      </c>
      <c r="K47" s="1">
        <f t="shared" si="3"/>
        <v>33.90219936997164</v>
      </c>
      <c r="L47" s="1">
        <f t="shared" si="3"/>
        <v>54.685787677997723</v>
      </c>
      <c r="M47" s="1">
        <f t="shared" si="3"/>
        <v>-20.783588308200706</v>
      </c>
      <c r="N47" s="1">
        <f t="shared" si="3"/>
        <v>0.23980487500011805</v>
      </c>
      <c r="O47" s="1">
        <f t="shared" si="3"/>
        <v>34.142004244960845</v>
      </c>
    </row>
    <row r="48" spans="1:16" x14ac:dyDescent="0.25">
      <c r="A48" s="1" t="s">
        <v>47</v>
      </c>
      <c r="B48" t="s">
        <v>36</v>
      </c>
      <c r="C48" t="s">
        <v>10</v>
      </c>
      <c r="D48" s="1">
        <f t="shared" ref="D48:O48" si="4">D18-D12</f>
        <v>0</v>
      </c>
      <c r="E48" s="1">
        <f t="shared" si="4"/>
        <v>0</v>
      </c>
      <c r="F48" s="1">
        <f t="shared" si="4"/>
        <v>1.9328397606986982</v>
      </c>
      <c r="G48" s="1">
        <f t="shared" si="4"/>
        <v>1.9328397606986982</v>
      </c>
      <c r="H48" s="1">
        <f t="shared" si="4"/>
        <v>449.90768077998655</v>
      </c>
      <c r="I48" s="1">
        <f t="shared" si="4"/>
        <v>-61.315920559602091</v>
      </c>
      <c r="J48" s="1">
        <f t="shared" si="4"/>
        <v>0</v>
      </c>
      <c r="K48" s="1">
        <f t="shared" si="4"/>
        <v>388.59176022000611</v>
      </c>
      <c r="L48" s="1">
        <f t="shared" si="4"/>
        <v>449.90768077998655</v>
      </c>
      <c r="M48" s="1">
        <f t="shared" si="4"/>
        <v>-61.315920559602091</v>
      </c>
      <c r="N48" s="1">
        <f t="shared" si="4"/>
        <v>1.9328397606986982</v>
      </c>
      <c r="O48" s="1">
        <f t="shared" si="4"/>
        <v>390.52459998009726</v>
      </c>
    </row>
    <row r="49" spans="1:15" x14ac:dyDescent="0.25">
      <c r="A49" s="1" t="s">
        <v>47</v>
      </c>
      <c r="B49" t="s">
        <v>36</v>
      </c>
      <c r="C49" t="s">
        <v>11</v>
      </c>
      <c r="D49" s="1">
        <f t="shared" ref="D49:O49" si="5">D19-D13</f>
        <v>0</v>
      </c>
      <c r="E49" s="1">
        <f t="shared" si="5"/>
        <v>0</v>
      </c>
      <c r="F49" s="1">
        <f t="shared" si="5"/>
        <v>32.084459841596981</v>
      </c>
      <c r="G49" s="1">
        <f t="shared" si="5"/>
        <v>32.084459841596981</v>
      </c>
      <c r="H49" s="1">
        <f t="shared" si="5"/>
        <v>923.77917468198575</v>
      </c>
      <c r="I49" s="1">
        <f t="shared" si="5"/>
        <v>-84.250715499099897</v>
      </c>
      <c r="J49" s="1">
        <f t="shared" si="5"/>
        <v>0</v>
      </c>
      <c r="K49" s="1">
        <f t="shared" si="5"/>
        <v>839.52845918299863</v>
      </c>
      <c r="L49" s="1">
        <f t="shared" si="5"/>
        <v>923.77917468198575</v>
      </c>
      <c r="M49" s="1">
        <f t="shared" si="5"/>
        <v>-84.250715499099897</v>
      </c>
      <c r="N49" s="1">
        <f t="shared" si="5"/>
        <v>32.084459841596981</v>
      </c>
      <c r="O49" s="1">
        <f t="shared" si="5"/>
        <v>871.6129190250067</v>
      </c>
    </row>
    <row r="50" spans="1:15" x14ac:dyDescent="0.25">
      <c r="A50" s="1" t="s">
        <v>47</v>
      </c>
      <c r="B50" t="s">
        <v>37</v>
      </c>
      <c r="C50" t="s">
        <v>6</v>
      </c>
      <c r="D50" s="1">
        <f t="shared" ref="D50:O50" si="6">D20-D14</f>
        <v>-1287.8980141599895</v>
      </c>
      <c r="E50" s="1">
        <f t="shared" si="6"/>
        <v>137.24026913999114</v>
      </c>
      <c r="F50" s="1">
        <f t="shared" si="6"/>
        <v>0</v>
      </c>
      <c r="G50" s="1">
        <f t="shared" si="6"/>
        <v>-1150.6577450199984</v>
      </c>
      <c r="H50" s="1">
        <f t="shared" si="6"/>
        <v>0</v>
      </c>
      <c r="I50" s="1">
        <f t="shared" si="6"/>
        <v>0</v>
      </c>
      <c r="J50" s="1">
        <f t="shared" si="6"/>
        <v>-40.007443100399541</v>
      </c>
      <c r="K50" s="1">
        <f t="shared" si="6"/>
        <v>-40.007443100399541</v>
      </c>
      <c r="L50" s="1">
        <f t="shared" si="6"/>
        <v>-1287.8980141599895</v>
      </c>
      <c r="M50" s="1">
        <f t="shared" si="6"/>
        <v>137.24026913999114</v>
      </c>
      <c r="N50" s="1">
        <f t="shared" si="6"/>
        <v>-40.007443100399541</v>
      </c>
      <c r="O50" s="1">
        <f t="shared" si="6"/>
        <v>-1190.6651881210273</v>
      </c>
    </row>
    <row r="51" spans="1:15" x14ac:dyDescent="0.25">
      <c r="A51" s="1" t="s">
        <v>47</v>
      </c>
      <c r="B51" t="s">
        <v>37</v>
      </c>
      <c r="C51" t="s">
        <v>7</v>
      </c>
      <c r="D51" s="1">
        <f t="shared" ref="D51:O51" si="7">D21-D15</f>
        <v>-1152.5630793769378</v>
      </c>
      <c r="E51" s="1">
        <f t="shared" si="7"/>
        <v>29.119825059009599</v>
      </c>
      <c r="F51" s="1">
        <f t="shared" si="7"/>
        <v>0</v>
      </c>
      <c r="G51" s="1">
        <f t="shared" si="7"/>
        <v>-1123.4432543190196</v>
      </c>
      <c r="H51" s="1">
        <f t="shared" si="7"/>
        <v>0</v>
      </c>
      <c r="I51" s="1">
        <f t="shared" si="7"/>
        <v>0</v>
      </c>
      <c r="J51" s="1">
        <f t="shared" si="7"/>
        <v>-134.71009719200083</v>
      </c>
      <c r="K51" s="1">
        <f t="shared" si="7"/>
        <v>-134.71009719200083</v>
      </c>
      <c r="L51" s="1">
        <f t="shared" si="7"/>
        <v>-1152.5630793769378</v>
      </c>
      <c r="M51" s="1">
        <f t="shared" si="7"/>
        <v>29.119825059009599</v>
      </c>
      <c r="N51" s="1">
        <f t="shared" si="7"/>
        <v>-134.71009719200083</v>
      </c>
      <c r="O51" s="1">
        <f t="shared" si="7"/>
        <v>-1258.1533515109913</v>
      </c>
    </row>
    <row r="52" spans="1:15" x14ac:dyDescent="0.25">
      <c r="A52" s="1" t="s">
        <v>47</v>
      </c>
      <c r="B52" t="s">
        <v>37</v>
      </c>
      <c r="C52" t="s">
        <v>8</v>
      </c>
      <c r="D52" s="1">
        <f t="shared" ref="D52:O52" si="8">D22-D16</f>
        <v>-1110.6075770449825</v>
      </c>
      <c r="E52" s="1">
        <f t="shared" si="8"/>
        <v>-107.16261449200101</v>
      </c>
      <c r="F52" s="1">
        <f t="shared" si="8"/>
        <v>0</v>
      </c>
      <c r="G52" s="1">
        <f t="shared" si="8"/>
        <v>-1217.7701915369835</v>
      </c>
      <c r="H52" s="1">
        <f t="shared" si="8"/>
        <v>0</v>
      </c>
      <c r="I52" s="1">
        <f t="shared" si="8"/>
        <v>0</v>
      </c>
      <c r="J52" s="1">
        <f t="shared" si="8"/>
        <v>-476.62356962304329</v>
      </c>
      <c r="K52" s="1">
        <f t="shared" si="8"/>
        <v>-476.62356962304329</v>
      </c>
      <c r="L52" s="1">
        <f t="shared" si="8"/>
        <v>-1110.6075770449825</v>
      </c>
      <c r="M52" s="1">
        <f t="shared" si="8"/>
        <v>-107.16261449200101</v>
      </c>
      <c r="N52" s="1">
        <f t="shared" si="8"/>
        <v>-476.62356962304329</v>
      </c>
      <c r="O52" s="1">
        <f t="shared" si="8"/>
        <v>-1694.3937611598521</v>
      </c>
    </row>
    <row r="53" spans="1:15" x14ac:dyDescent="0.25">
      <c r="A53" s="1" t="s">
        <v>47</v>
      </c>
      <c r="B53" t="s">
        <v>37</v>
      </c>
      <c r="C53" t="s">
        <v>9</v>
      </c>
      <c r="D53" s="1">
        <f t="shared" ref="D53:O53" si="9">D23-D17</f>
        <v>0</v>
      </c>
      <c r="E53" s="1">
        <f t="shared" si="9"/>
        <v>0</v>
      </c>
      <c r="F53" s="1">
        <f t="shared" si="9"/>
        <v>-11.559360491199186</v>
      </c>
      <c r="G53" s="1">
        <f t="shared" si="9"/>
        <v>-11.559360491199186</v>
      </c>
      <c r="H53" s="1">
        <f t="shared" si="9"/>
        <v>-987.54976640897803</v>
      </c>
      <c r="I53" s="1">
        <f t="shared" si="9"/>
        <v>49.179906729405047</v>
      </c>
      <c r="J53" s="1">
        <f t="shared" si="9"/>
        <v>0</v>
      </c>
      <c r="K53" s="1">
        <f t="shared" si="9"/>
        <v>-938.36985968000954</v>
      </c>
      <c r="L53" s="1">
        <f t="shared" si="9"/>
        <v>-987.54976640897803</v>
      </c>
      <c r="M53" s="1">
        <f t="shared" si="9"/>
        <v>49.179906729405047</v>
      </c>
      <c r="N53" s="1">
        <f t="shared" si="9"/>
        <v>-11.559360491199186</v>
      </c>
      <c r="O53" s="1">
        <f t="shared" si="9"/>
        <v>-949.929220171005</v>
      </c>
    </row>
    <row r="54" spans="1:15" x14ac:dyDescent="0.25">
      <c r="A54" s="1" t="s">
        <v>47</v>
      </c>
      <c r="B54" t="s">
        <v>37</v>
      </c>
      <c r="C54" t="s">
        <v>10</v>
      </c>
      <c r="D54" s="1">
        <f t="shared" ref="D54:O54" si="10">D24-D18</f>
        <v>0</v>
      </c>
      <c r="E54" s="1">
        <f t="shared" si="10"/>
        <v>0</v>
      </c>
      <c r="F54" s="1">
        <f t="shared" si="10"/>
        <v>-16.686761395798385</v>
      </c>
      <c r="G54" s="1">
        <f t="shared" si="10"/>
        <v>-16.686761395798385</v>
      </c>
      <c r="H54" s="1">
        <f t="shared" si="10"/>
        <v>-998.21364075603196</v>
      </c>
      <c r="I54" s="1">
        <f t="shared" si="10"/>
        <v>24.346338630399259</v>
      </c>
      <c r="J54" s="1">
        <f t="shared" si="10"/>
        <v>0</v>
      </c>
      <c r="K54" s="1">
        <f t="shared" si="10"/>
        <v>-973.86730212497059</v>
      </c>
      <c r="L54" s="1">
        <f t="shared" si="10"/>
        <v>-998.21364075603196</v>
      </c>
      <c r="M54" s="1">
        <f t="shared" si="10"/>
        <v>24.346338630399259</v>
      </c>
      <c r="N54" s="1">
        <f t="shared" si="10"/>
        <v>-16.686761395798385</v>
      </c>
      <c r="O54" s="1">
        <f t="shared" si="10"/>
        <v>-990.55406352109276</v>
      </c>
    </row>
    <row r="55" spans="1:15" x14ac:dyDescent="0.25">
      <c r="A55" s="1" t="s">
        <v>47</v>
      </c>
      <c r="B55" t="s">
        <v>37</v>
      </c>
      <c r="C55" t="s">
        <v>11</v>
      </c>
      <c r="D55" s="1">
        <f t="shared" ref="D55:O55" si="11">D25-D19</f>
        <v>0</v>
      </c>
      <c r="E55" s="1">
        <f t="shared" si="11"/>
        <v>0</v>
      </c>
      <c r="F55" s="1">
        <f t="shared" si="11"/>
        <v>-44.713411953696777</v>
      </c>
      <c r="G55" s="1">
        <f t="shared" si="11"/>
        <v>-44.713411953696777</v>
      </c>
      <c r="H55" s="1">
        <f t="shared" si="11"/>
        <v>-910.91136500000721</v>
      </c>
      <c r="I55" s="1">
        <f t="shared" si="11"/>
        <v>7.9193902682018233</v>
      </c>
      <c r="J55" s="1">
        <f t="shared" si="11"/>
        <v>0</v>
      </c>
      <c r="K55" s="1">
        <f t="shared" si="11"/>
        <v>-902.99197473103413</v>
      </c>
      <c r="L55" s="1">
        <f t="shared" si="11"/>
        <v>-910.91136500000721</v>
      </c>
      <c r="M55" s="1">
        <f t="shared" si="11"/>
        <v>7.9193902682018233</v>
      </c>
      <c r="N55" s="1">
        <f t="shared" si="11"/>
        <v>-44.713411953696777</v>
      </c>
      <c r="O55" s="1">
        <f t="shared" si="11"/>
        <v>-947.70538668497466</v>
      </c>
    </row>
    <row r="56" spans="1:15" x14ac:dyDescent="0.25">
      <c r="A56" s="1" t="s">
        <v>47</v>
      </c>
      <c r="B56" t="s">
        <v>38</v>
      </c>
      <c r="C56" t="s">
        <v>6</v>
      </c>
      <c r="D56" s="1">
        <f t="shared" ref="D56:O56" si="12">D26-D20</f>
        <v>427.42549689399311</v>
      </c>
      <c r="E56" s="1">
        <f t="shared" si="12"/>
        <v>-377.08084470299946</v>
      </c>
      <c r="F56" s="1">
        <f t="shared" si="12"/>
        <v>0</v>
      </c>
      <c r="G56" s="1">
        <f t="shared" si="12"/>
        <v>50.344652189989574</v>
      </c>
      <c r="H56" s="1">
        <f t="shared" si="12"/>
        <v>0</v>
      </c>
      <c r="I56" s="1">
        <f t="shared" si="12"/>
        <v>0</v>
      </c>
      <c r="J56" s="1">
        <f t="shared" si="12"/>
        <v>-6.7099077105012839</v>
      </c>
      <c r="K56" s="1">
        <f t="shared" si="12"/>
        <v>-6.7099077105012839</v>
      </c>
      <c r="L56" s="1">
        <f t="shared" si="12"/>
        <v>427.42549689399311</v>
      </c>
      <c r="M56" s="1">
        <f t="shared" si="12"/>
        <v>-377.08084470299946</v>
      </c>
      <c r="N56" s="1">
        <f t="shared" si="12"/>
        <v>-6.7099077105012839</v>
      </c>
      <c r="O56" s="1">
        <f t="shared" si="12"/>
        <v>43.634744480019435</v>
      </c>
    </row>
    <row r="57" spans="1:15" x14ac:dyDescent="0.25">
      <c r="A57" s="1" t="s">
        <v>47</v>
      </c>
      <c r="B57" t="s">
        <v>38</v>
      </c>
      <c r="C57" t="s">
        <v>7</v>
      </c>
      <c r="D57" s="1">
        <f t="shared" ref="D57:O57" si="13">D27-D21</f>
        <v>729.36031216802076</v>
      </c>
      <c r="E57" s="1">
        <f t="shared" si="13"/>
        <v>-620.98029019500245</v>
      </c>
      <c r="F57" s="1">
        <f t="shared" si="13"/>
        <v>0</v>
      </c>
      <c r="G57" s="1">
        <f t="shared" si="13"/>
        <v>108.38002197304741</v>
      </c>
      <c r="H57" s="1">
        <f t="shared" si="13"/>
        <v>0</v>
      </c>
      <c r="I57" s="1">
        <f t="shared" si="13"/>
        <v>0</v>
      </c>
      <c r="J57" s="1">
        <f t="shared" si="13"/>
        <v>-2.8599925730086397</v>
      </c>
      <c r="K57" s="1">
        <f t="shared" si="13"/>
        <v>-2.8599925730086397</v>
      </c>
      <c r="L57" s="1">
        <f t="shared" si="13"/>
        <v>729.36031216802076</v>
      </c>
      <c r="M57" s="1">
        <f t="shared" si="13"/>
        <v>-620.98029019500245</v>
      </c>
      <c r="N57" s="1">
        <f t="shared" si="13"/>
        <v>-2.8599925730086397</v>
      </c>
      <c r="O57" s="1">
        <f t="shared" si="13"/>
        <v>105.52002939907834</v>
      </c>
    </row>
    <row r="58" spans="1:15" x14ac:dyDescent="0.25">
      <c r="A58" s="1" t="s">
        <v>47</v>
      </c>
      <c r="B58" t="s">
        <v>38</v>
      </c>
      <c r="C58" t="s">
        <v>8</v>
      </c>
      <c r="D58" s="1">
        <f t="shared" ref="D58:O58" si="14">D28-D22</f>
        <v>-261.31176114804111</v>
      </c>
      <c r="E58" s="1">
        <f t="shared" si="14"/>
        <v>-448.11230455100304</v>
      </c>
      <c r="F58" s="1">
        <f t="shared" si="14"/>
        <v>0</v>
      </c>
      <c r="G58" s="1">
        <f t="shared" si="14"/>
        <v>-709.42406569805462</v>
      </c>
      <c r="H58" s="1">
        <f t="shared" si="14"/>
        <v>0</v>
      </c>
      <c r="I58" s="1">
        <f t="shared" si="14"/>
        <v>0</v>
      </c>
      <c r="J58" s="1">
        <f t="shared" si="14"/>
        <v>-205.55061263695825</v>
      </c>
      <c r="K58" s="1">
        <f t="shared" si="14"/>
        <v>-205.55061263695825</v>
      </c>
      <c r="L58" s="1">
        <f t="shared" si="14"/>
        <v>-261.31176114804111</v>
      </c>
      <c r="M58" s="1">
        <f t="shared" si="14"/>
        <v>-448.11230455100304</v>
      </c>
      <c r="N58" s="1">
        <f t="shared" si="14"/>
        <v>-205.55061263695825</v>
      </c>
      <c r="O58" s="1">
        <f t="shared" si="14"/>
        <v>-914.97467834013514</v>
      </c>
    </row>
    <row r="59" spans="1:15" x14ac:dyDescent="0.25">
      <c r="A59" s="1" t="s">
        <v>47</v>
      </c>
      <c r="B59" t="s">
        <v>38</v>
      </c>
      <c r="C59" t="s">
        <v>9</v>
      </c>
      <c r="D59" s="1">
        <f t="shared" ref="D59:O59" si="15">D29-D23</f>
        <v>0</v>
      </c>
      <c r="E59" s="1">
        <f t="shared" si="15"/>
        <v>0</v>
      </c>
      <c r="F59" s="1">
        <f t="shared" si="15"/>
        <v>6.3167254055006197</v>
      </c>
      <c r="G59" s="1">
        <f t="shared" si="15"/>
        <v>6.3167254055006197</v>
      </c>
      <c r="H59" s="1">
        <f t="shared" si="15"/>
        <v>124.55155370401917</v>
      </c>
      <c r="I59" s="1">
        <f t="shared" si="15"/>
        <v>-253.63348092810338</v>
      </c>
      <c r="J59" s="1">
        <f t="shared" si="15"/>
        <v>0</v>
      </c>
      <c r="K59" s="1">
        <f t="shared" si="15"/>
        <v>-129.08192722499371</v>
      </c>
      <c r="L59" s="1">
        <f t="shared" si="15"/>
        <v>124.55155370401917</v>
      </c>
      <c r="M59" s="1">
        <f t="shared" si="15"/>
        <v>-253.63348092810338</v>
      </c>
      <c r="N59" s="1">
        <f t="shared" si="15"/>
        <v>6.3167254055006197</v>
      </c>
      <c r="O59" s="1">
        <f t="shared" si="15"/>
        <v>-122.76520181895467</v>
      </c>
    </row>
    <row r="60" spans="1:15" x14ac:dyDescent="0.25">
      <c r="A60" s="1" t="s">
        <v>47</v>
      </c>
      <c r="B60" t="s">
        <v>38</v>
      </c>
      <c r="C60" t="s">
        <v>10</v>
      </c>
      <c r="D60" s="1">
        <f t="shared" ref="D60:O60" si="16">D30-D24</f>
        <v>0</v>
      </c>
      <c r="E60" s="1">
        <f t="shared" si="16"/>
        <v>0</v>
      </c>
      <c r="F60" s="1">
        <f t="shared" si="16"/>
        <v>15.083370815298622</v>
      </c>
      <c r="G60" s="1">
        <f t="shared" si="16"/>
        <v>15.083370815298622</v>
      </c>
      <c r="H60" s="1">
        <f t="shared" si="16"/>
        <v>-134.37282974499976</v>
      </c>
      <c r="I60" s="1">
        <f t="shared" si="16"/>
        <v>-49.056810621797922</v>
      </c>
      <c r="J60" s="1">
        <f t="shared" si="16"/>
        <v>0</v>
      </c>
      <c r="K60" s="1">
        <f t="shared" si="16"/>
        <v>-183.42964036599733</v>
      </c>
      <c r="L60" s="1">
        <f t="shared" si="16"/>
        <v>-134.37282974499976</v>
      </c>
      <c r="M60" s="1">
        <f t="shared" si="16"/>
        <v>-49.056810621797922</v>
      </c>
      <c r="N60" s="1">
        <f t="shared" si="16"/>
        <v>15.083370815298622</v>
      </c>
      <c r="O60" s="1">
        <f t="shared" si="16"/>
        <v>-168.3462695509661</v>
      </c>
    </row>
    <row r="61" spans="1:15" x14ac:dyDescent="0.25">
      <c r="A61" s="1" t="s">
        <v>47</v>
      </c>
      <c r="B61" t="s">
        <v>38</v>
      </c>
      <c r="C61" t="s">
        <v>11</v>
      </c>
      <c r="D61" s="1">
        <f t="shared" ref="D61:O61" si="17">D31-D25</f>
        <v>0</v>
      </c>
      <c r="E61" s="1">
        <f t="shared" si="17"/>
        <v>0</v>
      </c>
      <c r="F61" s="1">
        <f t="shared" si="17"/>
        <v>20.135961900999973</v>
      </c>
      <c r="G61" s="1">
        <f t="shared" si="17"/>
        <v>20.135961900999973</v>
      </c>
      <c r="H61" s="1">
        <f t="shared" si="17"/>
        <v>-320.6799088389962</v>
      </c>
      <c r="I61" s="1">
        <f t="shared" si="17"/>
        <v>39.751627004097827</v>
      </c>
      <c r="J61" s="1">
        <f t="shared" si="17"/>
        <v>0</v>
      </c>
      <c r="K61" s="1">
        <f t="shared" si="17"/>
        <v>-280.92828183597885</v>
      </c>
      <c r="L61" s="1">
        <f t="shared" si="17"/>
        <v>-320.6799088389962</v>
      </c>
      <c r="M61" s="1">
        <f t="shared" si="17"/>
        <v>39.751627004097827</v>
      </c>
      <c r="N61" s="1">
        <f t="shared" si="17"/>
        <v>20.135961900999973</v>
      </c>
      <c r="O61" s="1">
        <f t="shared" si="17"/>
        <v>-260.79231993400026</v>
      </c>
    </row>
    <row r="62" spans="1:15" x14ac:dyDescent="0.25">
      <c r="A62" s="1" t="s">
        <v>47</v>
      </c>
      <c r="B62" t="s">
        <v>39</v>
      </c>
      <c r="C62" t="s">
        <v>6</v>
      </c>
      <c r="D62" s="1">
        <f t="shared" ref="D62:O62" si="18">D32-D26</f>
        <v>-122.58690233901143</v>
      </c>
      <c r="E62" s="1">
        <f t="shared" si="18"/>
        <v>38.001236759009771</v>
      </c>
      <c r="F62" s="1">
        <f t="shared" si="18"/>
        <v>0</v>
      </c>
      <c r="G62" s="1">
        <f t="shared" si="18"/>
        <v>-84.585665579070337</v>
      </c>
      <c r="H62" s="1">
        <f t="shared" si="18"/>
        <v>0</v>
      </c>
      <c r="I62" s="1">
        <f t="shared" si="18"/>
        <v>0</v>
      </c>
      <c r="J62" s="1">
        <f t="shared" si="18"/>
        <v>-14.358163197401154</v>
      </c>
      <c r="K62" s="1">
        <f t="shared" si="18"/>
        <v>-14.358163197401154</v>
      </c>
      <c r="L62" s="1">
        <f t="shared" si="18"/>
        <v>-122.58690233901143</v>
      </c>
      <c r="M62" s="1">
        <f t="shared" si="18"/>
        <v>38.001236759009771</v>
      </c>
      <c r="N62" s="1">
        <f t="shared" si="18"/>
        <v>-14.358163197401154</v>
      </c>
      <c r="O62" s="1">
        <f t="shared" si="18"/>
        <v>-98.943828776013106</v>
      </c>
    </row>
    <row r="63" spans="1:15" x14ac:dyDescent="0.25">
      <c r="A63" s="1" t="s">
        <v>47</v>
      </c>
      <c r="B63" t="s">
        <v>39</v>
      </c>
      <c r="C63" t="s">
        <v>7</v>
      </c>
      <c r="D63" s="1">
        <f t="shared" ref="D63:O63" si="19">D33-D27</f>
        <v>-294.58639653597493</v>
      </c>
      <c r="E63" s="1">
        <f t="shared" si="19"/>
        <v>76.672973699998693</v>
      </c>
      <c r="F63" s="1">
        <f t="shared" si="19"/>
        <v>0</v>
      </c>
      <c r="G63" s="1">
        <f t="shared" si="19"/>
        <v>-217.91342283599079</v>
      </c>
      <c r="H63" s="1">
        <f t="shared" si="19"/>
        <v>0</v>
      </c>
      <c r="I63" s="1">
        <f t="shared" si="19"/>
        <v>0</v>
      </c>
      <c r="J63" s="1">
        <f t="shared" si="19"/>
        <v>-22.668460888991831</v>
      </c>
      <c r="K63" s="1">
        <f t="shared" si="19"/>
        <v>-22.668460888991831</v>
      </c>
      <c r="L63" s="1">
        <f t="shared" si="19"/>
        <v>-294.58639653597493</v>
      </c>
      <c r="M63" s="1">
        <f t="shared" si="19"/>
        <v>76.672973699998693</v>
      </c>
      <c r="N63" s="1">
        <f t="shared" si="19"/>
        <v>-22.668460888991831</v>
      </c>
      <c r="O63" s="1">
        <f t="shared" si="19"/>
        <v>-240.5818837240804</v>
      </c>
    </row>
    <row r="64" spans="1:15" x14ac:dyDescent="0.25">
      <c r="A64" s="1" t="s">
        <v>47</v>
      </c>
      <c r="B64" t="s">
        <v>39</v>
      </c>
      <c r="C64" t="s">
        <v>8</v>
      </c>
      <c r="D64" s="1">
        <f t="shared" ref="D64:O64" si="20">D34-D28</f>
        <v>-983.48831858800258</v>
      </c>
      <c r="E64" s="1">
        <f t="shared" si="20"/>
        <v>66.258880945999408</v>
      </c>
      <c r="F64" s="1">
        <f t="shared" si="20"/>
        <v>0</v>
      </c>
      <c r="G64" s="1">
        <f t="shared" si="20"/>
        <v>-917.2294376429636</v>
      </c>
      <c r="H64" s="1">
        <f t="shared" si="20"/>
        <v>0</v>
      </c>
      <c r="I64" s="1">
        <f t="shared" si="20"/>
        <v>0</v>
      </c>
      <c r="J64" s="1">
        <f t="shared" si="20"/>
        <v>-485.16554122202797</v>
      </c>
      <c r="K64" s="1">
        <f t="shared" si="20"/>
        <v>-485.16554122202797</v>
      </c>
      <c r="L64" s="1">
        <f t="shared" si="20"/>
        <v>-983.48831858800258</v>
      </c>
      <c r="M64" s="1">
        <f t="shared" si="20"/>
        <v>66.258880945999408</v>
      </c>
      <c r="N64" s="1">
        <f t="shared" si="20"/>
        <v>-485.16554122202797</v>
      </c>
      <c r="O64" s="1">
        <f t="shared" si="20"/>
        <v>-1402.3949788599275</v>
      </c>
    </row>
    <row r="65" spans="1:15" x14ac:dyDescent="0.25">
      <c r="A65" s="1" t="s">
        <v>47</v>
      </c>
      <c r="B65" t="s">
        <v>39</v>
      </c>
      <c r="C65" t="s">
        <v>9</v>
      </c>
      <c r="D65" s="1">
        <f t="shared" ref="D65:O65" si="21">D35-D29</f>
        <v>0</v>
      </c>
      <c r="E65" s="1">
        <f t="shared" si="21"/>
        <v>0</v>
      </c>
      <c r="F65" s="1">
        <f t="shared" si="21"/>
        <v>-0.48427200180049113</v>
      </c>
      <c r="G65" s="1">
        <f t="shared" si="21"/>
        <v>-0.48427200180049113</v>
      </c>
      <c r="H65" s="1">
        <f t="shared" si="21"/>
        <v>-40.264852519030683</v>
      </c>
      <c r="I65" s="1">
        <f t="shared" si="21"/>
        <v>11.950157690698688</v>
      </c>
      <c r="J65" s="1">
        <f t="shared" si="21"/>
        <v>0</v>
      </c>
      <c r="K65" s="1">
        <f t="shared" si="21"/>
        <v>-28.314694827015046</v>
      </c>
      <c r="L65" s="1">
        <f t="shared" si="21"/>
        <v>-40.264852519030683</v>
      </c>
      <c r="M65" s="1">
        <f t="shared" si="21"/>
        <v>11.950157690698688</v>
      </c>
      <c r="N65" s="1">
        <f t="shared" si="21"/>
        <v>-0.48427200180049113</v>
      </c>
      <c r="O65" s="1">
        <f t="shared" si="21"/>
        <v>-28.798966829024721</v>
      </c>
    </row>
    <row r="66" spans="1:15" x14ac:dyDescent="0.25">
      <c r="A66" s="1" t="s">
        <v>47</v>
      </c>
      <c r="B66" t="s">
        <v>39</v>
      </c>
      <c r="C66" t="s">
        <v>10</v>
      </c>
      <c r="D66" s="1">
        <f t="shared" ref="D66:O66" si="22">D36-D30</f>
        <v>0</v>
      </c>
      <c r="E66" s="1">
        <f t="shared" si="22"/>
        <v>0</v>
      </c>
      <c r="F66" s="1">
        <f t="shared" si="22"/>
        <v>-3.1935682046987495</v>
      </c>
      <c r="G66" s="1">
        <f t="shared" si="22"/>
        <v>-3.1935682046987495</v>
      </c>
      <c r="H66" s="1">
        <f t="shared" si="22"/>
        <v>-405.04539246595232</v>
      </c>
      <c r="I66" s="1">
        <f t="shared" si="22"/>
        <v>42.449858740801574</v>
      </c>
      <c r="J66" s="1">
        <f t="shared" si="22"/>
        <v>0</v>
      </c>
      <c r="K66" s="1">
        <f t="shared" si="22"/>
        <v>-362.59553372603841</v>
      </c>
      <c r="L66" s="1">
        <f t="shared" si="22"/>
        <v>-405.04539246595232</v>
      </c>
      <c r="M66" s="1">
        <f t="shared" si="22"/>
        <v>42.449858740801574</v>
      </c>
      <c r="N66" s="1">
        <f t="shared" si="22"/>
        <v>-3.1935682046987495</v>
      </c>
      <c r="O66" s="1">
        <f t="shared" si="22"/>
        <v>-365.78910192998592</v>
      </c>
    </row>
    <row r="67" spans="1:15" x14ac:dyDescent="0.25">
      <c r="A67" s="1" t="s">
        <v>47</v>
      </c>
      <c r="B67" t="s">
        <v>39</v>
      </c>
      <c r="C67" t="s">
        <v>11</v>
      </c>
      <c r="D67" s="1">
        <f t="shared" ref="D67:O67" si="23">D37-D31</f>
        <v>0</v>
      </c>
      <c r="E67" s="1">
        <f t="shared" si="23"/>
        <v>0</v>
      </c>
      <c r="F67" s="1">
        <f t="shared" si="23"/>
        <v>-37.464674347200344</v>
      </c>
      <c r="G67" s="1">
        <f t="shared" si="23"/>
        <v>-37.464674347200344</v>
      </c>
      <c r="H67" s="1">
        <f t="shared" si="23"/>
        <v>-857.89544731000206</v>
      </c>
      <c r="I67" s="1">
        <f t="shared" si="23"/>
        <v>63.345055346202571</v>
      </c>
      <c r="J67" s="1">
        <f t="shared" si="23"/>
        <v>0</v>
      </c>
      <c r="K67" s="1">
        <f t="shared" si="23"/>
        <v>-794.55039196397411</v>
      </c>
      <c r="L67" s="1">
        <f t="shared" si="23"/>
        <v>-857.89544731000206</v>
      </c>
      <c r="M67" s="1">
        <f t="shared" si="23"/>
        <v>63.345055346202571</v>
      </c>
      <c r="N67" s="1">
        <f t="shared" si="23"/>
        <v>-37.464674347200344</v>
      </c>
      <c r="O67" s="1">
        <f t="shared" si="23"/>
        <v>-832.01506631204393</v>
      </c>
    </row>
    <row r="68" spans="1:15" x14ac:dyDescent="0.25">
      <c r="A68" s="1" t="s">
        <v>47</v>
      </c>
      <c r="B68" t="s">
        <v>59</v>
      </c>
      <c r="C68" t="s">
        <v>6</v>
      </c>
      <c r="D68" s="1">
        <f t="shared" ref="D68:O68" si="24">D38-D32</f>
        <v>-30.004942841944285</v>
      </c>
      <c r="E68" s="1">
        <f t="shared" si="24"/>
        <v>-20.014672613004223</v>
      </c>
      <c r="F68" s="1">
        <f t="shared" si="24"/>
        <v>0</v>
      </c>
      <c r="G68" s="1">
        <f t="shared" si="24"/>
        <v>-50.019615455996245</v>
      </c>
      <c r="H68" s="1">
        <f t="shared" si="24"/>
        <v>0</v>
      </c>
      <c r="I68" s="1">
        <f t="shared" si="24"/>
        <v>0</v>
      </c>
      <c r="J68" s="1">
        <f t="shared" si="24"/>
        <v>-17.945116594597494</v>
      </c>
      <c r="K68" s="1">
        <f t="shared" si="24"/>
        <v>-17.945116594597494</v>
      </c>
      <c r="L68" s="1">
        <f t="shared" si="24"/>
        <v>-30.004942841944285</v>
      </c>
      <c r="M68" s="1">
        <f t="shared" si="24"/>
        <v>-20.014672613004223</v>
      </c>
      <c r="N68" s="1">
        <f t="shared" si="24"/>
        <v>-17.945116594597494</v>
      </c>
      <c r="O68" s="1">
        <f t="shared" si="24"/>
        <v>-67.964732051012106</v>
      </c>
    </row>
    <row r="69" spans="1:15" x14ac:dyDescent="0.25">
      <c r="A69" s="1" t="s">
        <v>47</v>
      </c>
      <c r="B69" t="s">
        <v>59</v>
      </c>
      <c r="C69" t="s">
        <v>7</v>
      </c>
      <c r="D69" s="1">
        <f t="shared" ref="D69:O69" si="25">D39-D33</f>
        <v>-74.875583600020036</v>
      </c>
      <c r="E69" s="1">
        <f t="shared" si="25"/>
        <v>-53.785577418995672</v>
      </c>
      <c r="F69" s="1">
        <f t="shared" si="25"/>
        <v>0</v>
      </c>
      <c r="G69" s="1">
        <f t="shared" si="25"/>
        <v>-128.66116101900116</v>
      </c>
      <c r="H69" s="1">
        <f t="shared" si="25"/>
        <v>0</v>
      </c>
      <c r="I69" s="1">
        <f t="shared" si="25"/>
        <v>0</v>
      </c>
      <c r="J69" s="1">
        <f t="shared" si="25"/>
        <v>-23.425028229001327</v>
      </c>
      <c r="K69" s="1">
        <f t="shared" si="25"/>
        <v>-23.425028229001327</v>
      </c>
      <c r="L69" s="1">
        <f t="shared" si="25"/>
        <v>-74.875583600020036</v>
      </c>
      <c r="M69" s="1">
        <f t="shared" si="25"/>
        <v>-53.785577418995672</v>
      </c>
      <c r="N69" s="1">
        <f t="shared" si="25"/>
        <v>-23.425028229001327</v>
      </c>
      <c r="O69" s="1">
        <f t="shared" si="25"/>
        <v>-152.08618924790062</v>
      </c>
    </row>
    <row r="70" spans="1:15" x14ac:dyDescent="0.25">
      <c r="A70" s="1" t="s">
        <v>47</v>
      </c>
      <c r="B70" t="s">
        <v>59</v>
      </c>
      <c r="C70" t="s">
        <v>8</v>
      </c>
      <c r="D70" s="1">
        <f t="shared" ref="D70:O70" si="26">D40-D34</f>
        <v>-275.88526670099236</v>
      </c>
      <c r="E70" s="1">
        <f t="shared" si="26"/>
        <v>-251.38925499399193</v>
      </c>
      <c r="F70" s="1">
        <f t="shared" si="26"/>
        <v>0</v>
      </c>
      <c r="G70" s="1">
        <f t="shared" si="26"/>
        <v>-527.27452169603202</v>
      </c>
      <c r="H70" s="1">
        <f t="shared" si="26"/>
        <v>0</v>
      </c>
      <c r="I70" s="1">
        <f t="shared" si="26"/>
        <v>0</v>
      </c>
      <c r="J70" s="1">
        <f t="shared" si="26"/>
        <v>-597.43901224498404</v>
      </c>
      <c r="K70" s="1">
        <f t="shared" si="26"/>
        <v>-597.43901224498404</v>
      </c>
      <c r="L70" s="1">
        <f t="shared" si="26"/>
        <v>-275.88526670099236</v>
      </c>
      <c r="M70" s="1">
        <f t="shared" si="26"/>
        <v>-251.38925499399193</v>
      </c>
      <c r="N70" s="1">
        <f t="shared" si="26"/>
        <v>-597.43901224498404</v>
      </c>
      <c r="O70" s="1">
        <f t="shared" si="26"/>
        <v>-1124.7135339400265</v>
      </c>
    </row>
    <row r="71" spans="1:15" x14ac:dyDescent="0.25">
      <c r="A71" s="1" t="s">
        <v>47</v>
      </c>
      <c r="B71" t="s">
        <v>59</v>
      </c>
      <c r="C71" t="s">
        <v>9</v>
      </c>
      <c r="D71" s="1">
        <f t="shared" ref="D71:O71" si="27">D41-D35</f>
        <v>0</v>
      </c>
      <c r="E71" s="1">
        <f t="shared" si="27"/>
        <v>0</v>
      </c>
      <c r="F71" s="1">
        <f t="shared" si="27"/>
        <v>-0.11676855599944247</v>
      </c>
      <c r="G71" s="1">
        <f t="shared" si="27"/>
        <v>-0.11676855599944247</v>
      </c>
      <c r="H71" s="1">
        <f t="shared" si="27"/>
        <v>-34.107704894966446</v>
      </c>
      <c r="I71" s="1">
        <f t="shared" si="27"/>
        <v>6.5535209871013649</v>
      </c>
      <c r="J71" s="1">
        <f t="shared" si="27"/>
        <v>0</v>
      </c>
      <c r="K71" s="1">
        <f t="shared" si="27"/>
        <v>-27.554183908971027</v>
      </c>
      <c r="L71" s="1">
        <f t="shared" si="27"/>
        <v>-34.107704894966446</v>
      </c>
      <c r="M71" s="1">
        <f t="shared" si="27"/>
        <v>6.5535209871013649</v>
      </c>
      <c r="N71" s="1">
        <f t="shared" si="27"/>
        <v>-0.11676855599944247</v>
      </c>
      <c r="O71" s="1">
        <f t="shared" si="27"/>
        <v>-27.670952464977745</v>
      </c>
    </row>
    <row r="72" spans="1:15" x14ac:dyDescent="0.25">
      <c r="A72" s="1" t="s">
        <v>47</v>
      </c>
      <c r="B72" t="s">
        <v>59</v>
      </c>
      <c r="C72" t="s">
        <v>10</v>
      </c>
      <c r="D72" s="1">
        <f t="shared" ref="D72:O72" si="28">D42-D36</f>
        <v>0</v>
      </c>
      <c r="E72" s="1">
        <f t="shared" si="28"/>
        <v>0</v>
      </c>
      <c r="F72" s="1">
        <f t="shared" si="28"/>
        <v>-0.76361962550072349</v>
      </c>
      <c r="G72" s="1">
        <f t="shared" si="28"/>
        <v>-0.76361962550072349</v>
      </c>
      <c r="H72" s="1">
        <f t="shared" si="28"/>
        <v>-484.16420754505089</v>
      </c>
      <c r="I72" s="1">
        <f t="shared" si="28"/>
        <v>56.998909836198436</v>
      </c>
      <c r="J72" s="1">
        <f t="shared" si="28"/>
        <v>0</v>
      </c>
      <c r="K72" s="1">
        <f t="shared" si="28"/>
        <v>-427.16529770905618</v>
      </c>
      <c r="L72" s="1">
        <f t="shared" si="28"/>
        <v>-484.16420754505089</v>
      </c>
      <c r="M72" s="1">
        <f t="shared" si="28"/>
        <v>56.998909836198436</v>
      </c>
      <c r="N72" s="1">
        <f t="shared" si="28"/>
        <v>-0.76361962550072349</v>
      </c>
      <c r="O72" s="1">
        <f t="shared" si="28"/>
        <v>-427.9289173349971</v>
      </c>
    </row>
    <row r="73" spans="1:15" x14ac:dyDescent="0.25">
      <c r="A73" s="1" t="s">
        <v>47</v>
      </c>
      <c r="B73" t="s">
        <v>59</v>
      </c>
      <c r="C73" t="s">
        <v>11</v>
      </c>
      <c r="D73" s="1">
        <f t="shared" ref="D73:O73" si="29">D43-D37</f>
        <v>0</v>
      </c>
      <c r="E73" s="1">
        <f t="shared" si="29"/>
        <v>0</v>
      </c>
      <c r="F73" s="1">
        <f t="shared" si="29"/>
        <v>-10.537814666400664</v>
      </c>
      <c r="G73" s="1">
        <f t="shared" si="29"/>
        <v>-10.537814666400664</v>
      </c>
      <c r="H73" s="1">
        <f t="shared" si="29"/>
        <v>-1029.6998009049566</v>
      </c>
      <c r="I73" s="1">
        <f t="shared" si="29"/>
        <v>105.18830449619782</v>
      </c>
      <c r="J73" s="1">
        <f t="shared" si="29"/>
        <v>0</v>
      </c>
      <c r="K73" s="1">
        <f t="shared" si="29"/>
        <v>-924.5114964080276</v>
      </c>
      <c r="L73" s="1">
        <f t="shared" si="29"/>
        <v>-1029.6998009049566</v>
      </c>
      <c r="M73" s="1">
        <f t="shared" si="29"/>
        <v>105.18830449619782</v>
      </c>
      <c r="N73" s="1">
        <f t="shared" si="29"/>
        <v>-10.537814666400664</v>
      </c>
      <c r="O73" s="1">
        <f t="shared" si="29"/>
        <v>-935.0493110739626</v>
      </c>
    </row>
    <row r="74" spans="1:15" x14ac:dyDescent="0.25">
      <c r="A74" s="1" t="s">
        <v>48</v>
      </c>
      <c r="B74" t="s">
        <v>36</v>
      </c>
      <c r="C74" t="s">
        <v>6</v>
      </c>
      <c r="D74" s="9">
        <f t="shared" ref="D74:O74" si="30">IF(D8 = 0, 0, D44/D8)</f>
        <v>1.6148503912335083E-4</v>
      </c>
      <c r="E74" s="9">
        <f t="shared" si="30"/>
        <v>-7.5299153868431124E-5</v>
      </c>
      <c r="F74" s="9">
        <f t="shared" si="30"/>
        <v>0</v>
      </c>
      <c r="G74" s="9">
        <f t="shared" si="30"/>
        <v>1.1532711754957157E-4</v>
      </c>
      <c r="H74" s="9">
        <f t="shared" si="30"/>
        <v>0</v>
      </c>
      <c r="I74" s="9">
        <f t="shared" si="30"/>
        <v>0</v>
      </c>
      <c r="J74" s="9">
        <f t="shared" si="30"/>
        <v>5.5996248587282266E-4</v>
      </c>
      <c r="K74" s="9">
        <f t="shared" si="30"/>
        <v>5.5996248587282266E-4</v>
      </c>
      <c r="L74" s="9">
        <f t="shared" si="30"/>
        <v>1.6148503912335083E-4</v>
      </c>
      <c r="M74" s="9">
        <f t="shared" si="30"/>
        <v>-7.5299153868431124E-5</v>
      </c>
      <c r="N74" s="9">
        <f t="shared" si="30"/>
        <v>5.5996248587282266E-4</v>
      </c>
      <c r="O74" s="9">
        <f t="shared" si="30"/>
        <v>1.3572238925092903E-4</v>
      </c>
    </row>
    <row r="75" spans="1:15" x14ac:dyDescent="0.25">
      <c r="A75" s="1" t="s">
        <v>48</v>
      </c>
      <c r="B75" t="s">
        <v>36</v>
      </c>
      <c r="C75" t="s">
        <v>7</v>
      </c>
      <c r="D75" s="9">
        <f t="shared" ref="D75:O75" si="31">IF(D9 = 0, 0, D45/D9)</f>
        <v>3.9501579067668344E-4</v>
      </c>
      <c r="E75" s="9">
        <f t="shared" si="31"/>
        <v>-1.2957601137792752E-4</v>
      </c>
      <c r="F75" s="9">
        <f t="shared" si="31"/>
        <v>0</v>
      </c>
      <c r="G75" s="9">
        <f t="shared" si="31"/>
        <v>2.9390167608720435E-4</v>
      </c>
      <c r="H75" s="9">
        <f t="shared" si="31"/>
        <v>0</v>
      </c>
      <c r="I75" s="9">
        <f t="shared" si="31"/>
        <v>0</v>
      </c>
      <c r="J75" s="9">
        <f t="shared" si="31"/>
        <v>2.4966038579668102E-4</v>
      </c>
      <c r="K75" s="9">
        <f t="shared" si="31"/>
        <v>2.4966038579668102E-4</v>
      </c>
      <c r="L75" s="9">
        <f t="shared" si="31"/>
        <v>3.9501579067668344E-4</v>
      </c>
      <c r="M75" s="9">
        <f t="shared" si="31"/>
        <v>-1.2957601137792752E-4</v>
      </c>
      <c r="N75" s="9">
        <f t="shared" si="31"/>
        <v>2.4966038579668102E-4</v>
      </c>
      <c r="O75" s="9">
        <f t="shared" si="31"/>
        <v>2.873463168101441E-4</v>
      </c>
    </row>
    <row r="76" spans="1:15" x14ac:dyDescent="0.25">
      <c r="A76" s="1" t="s">
        <v>48</v>
      </c>
      <c r="B76" t="s">
        <v>36</v>
      </c>
      <c r="C76" t="s">
        <v>8</v>
      </c>
      <c r="D76" s="9">
        <f t="shared" ref="D76:O76" si="32">IF(D10 = 0, 0, D46/D10)</f>
        <v>1.490830928400582E-3</v>
      </c>
      <c r="E76" s="9">
        <f t="shared" si="32"/>
        <v>7.1173351628027372E-5</v>
      </c>
      <c r="F76" s="9">
        <f t="shared" si="32"/>
        <v>0</v>
      </c>
      <c r="G76" s="9">
        <f t="shared" si="32"/>
        <v>1.2147219809492079E-3</v>
      </c>
      <c r="H76" s="9">
        <f t="shared" si="32"/>
        <v>0</v>
      </c>
      <c r="I76" s="9">
        <f t="shared" si="32"/>
        <v>0</v>
      </c>
      <c r="J76" s="9">
        <f t="shared" si="32"/>
        <v>1.8263609853924074E-3</v>
      </c>
      <c r="K76" s="9">
        <f t="shared" si="32"/>
        <v>1.8263609853924074E-3</v>
      </c>
      <c r="L76" s="9">
        <f t="shared" si="32"/>
        <v>1.490830928400582E-3</v>
      </c>
      <c r="M76" s="9">
        <f t="shared" si="32"/>
        <v>7.1173351628027372E-5</v>
      </c>
      <c r="N76" s="9">
        <f t="shared" si="32"/>
        <v>1.8263609853924074E-3</v>
      </c>
      <c r="O76" s="9">
        <f t="shared" si="32"/>
        <v>1.382442786395032E-3</v>
      </c>
    </row>
    <row r="77" spans="1:15" x14ac:dyDescent="0.25">
      <c r="A77" s="1" t="s">
        <v>48</v>
      </c>
      <c r="B77" t="s">
        <v>36</v>
      </c>
      <c r="C77" t="s">
        <v>9</v>
      </c>
      <c r="D77" s="9">
        <f t="shared" ref="D77:O77" si="33">IF(D11 = 0, 0, D47/D11)</f>
        <v>0</v>
      </c>
      <c r="E77" s="9">
        <f t="shared" si="33"/>
        <v>0</v>
      </c>
      <c r="F77" s="9">
        <f t="shared" si="33"/>
        <v>2.1251406688950139E-5</v>
      </c>
      <c r="G77" s="9">
        <f t="shared" si="33"/>
        <v>2.1251406688950139E-5</v>
      </c>
      <c r="H77" s="9">
        <f t="shared" si="33"/>
        <v>1.2152118581992446E-4</v>
      </c>
      <c r="I77" s="9">
        <f t="shared" si="33"/>
        <v>-4.84016853568862E-4</v>
      </c>
      <c r="J77" s="9">
        <f t="shared" si="33"/>
        <v>0</v>
      </c>
      <c r="K77" s="9">
        <f t="shared" si="33"/>
        <v>6.877409663824423E-5</v>
      </c>
      <c r="L77" s="9">
        <f t="shared" si="33"/>
        <v>1.2152118581992446E-4</v>
      </c>
      <c r="M77" s="9">
        <f t="shared" si="33"/>
        <v>-4.84016853568862E-4</v>
      </c>
      <c r="N77" s="9">
        <f t="shared" si="33"/>
        <v>2.1251406688950139E-5</v>
      </c>
      <c r="O77" s="9">
        <f t="shared" si="33"/>
        <v>6.7710593082577882E-5</v>
      </c>
    </row>
    <row r="78" spans="1:15" x14ac:dyDescent="0.25">
      <c r="A78" s="1" t="s">
        <v>48</v>
      </c>
      <c r="B78" t="s">
        <v>36</v>
      </c>
      <c r="C78" t="s">
        <v>10</v>
      </c>
      <c r="D78" s="9">
        <f t="shared" ref="D78:O78" si="34">IF(D12 = 0, 0, D48/D12)</f>
        <v>0</v>
      </c>
      <c r="E78" s="9">
        <f t="shared" si="34"/>
        <v>0</v>
      </c>
      <c r="F78" s="9">
        <f t="shared" si="34"/>
        <v>1.4443610258219622E-4</v>
      </c>
      <c r="G78" s="9">
        <f t="shared" si="34"/>
        <v>1.4443610258219622E-4</v>
      </c>
      <c r="H78" s="9">
        <f t="shared" si="34"/>
        <v>8.9769801528074688E-4</v>
      </c>
      <c r="I78" s="9">
        <f t="shared" si="34"/>
        <v>-1.7021077183141458E-3</v>
      </c>
      <c r="J78" s="9">
        <f t="shared" si="34"/>
        <v>0</v>
      </c>
      <c r="K78" s="9">
        <f t="shared" si="34"/>
        <v>7.2336132178455826E-4</v>
      </c>
      <c r="L78" s="9">
        <f t="shared" si="34"/>
        <v>8.9769801528074688E-4</v>
      </c>
      <c r="M78" s="9">
        <f t="shared" si="34"/>
        <v>-1.7021077183141458E-3</v>
      </c>
      <c r="N78" s="9">
        <f t="shared" si="34"/>
        <v>1.4443610258219622E-4</v>
      </c>
      <c r="O78" s="9">
        <f t="shared" si="34"/>
        <v>7.0929053675308383E-4</v>
      </c>
    </row>
    <row r="79" spans="1:15" x14ac:dyDescent="0.25">
      <c r="A79" s="1" t="s">
        <v>48</v>
      </c>
      <c r="B79" t="s">
        <v>36</v>
      </c>
      <c r="C79" t="s">
        <v>11</v>
      </c>
      <c r="D79" s="9">
        <f t="shared" ref="D79:O79" si="35">IF(D13 = 0, 0, D49/D13)</f>
        <v>0</v>
      </c>
      <c r="E79" s="9">
        <f t="shared" si="35"/>
        <v>0</v>
      </c>
      <c r="F79" s="9">
        <f t="shared" si="35"/>
        <v>1.0324531548616116E-3</v>
      </c>
      <c r="G79" s="9">
        <f t="shared" si="35"/>
        <v>1.0324531548616116E-3</v>
      </c>
      <c r="H79" s="9">
        <f t="shared" si="35"/>
        <v>1.8886093305052875E-3</v>
      </c>
      <c r="I79" s="9">
        <f t="shared" si="35"/>
        <v>-3.2963206535566898E-3</v>
      </c>
      <c r="J79" s="9">
        <f t="shared" si="35"/>
        <v>0</v>
      </c>
      <c r="K79" s="9">
        <f t="shared" si="35"/>
        <v>1.6311311143565107E-3</v>
      </c>
      <c r="L79" s="9">
        <f t="shared" si="35"/>
        <v>1.8886093305052875E-3</v>
      </c>
      <c r="M79" s="9">
        <f t="shared" si="35"/>
        <v>-3.2963206535566898E-3</v>
      </c>
      <c r="N79" s="9">
        <f t="shared" si="35"/>
        <v>1.0324531548616116E-3</v>
      </c>
      <c r="O79" s="9">
        <f t="shared" si="35"/>
        <v>1.5970424144794951E-3</v>
      </c>
    </row>
    <row r="80" spans="1:15" x14ac:dyDescent="0.25">
      <c r="A80" s="1" t="s">
        <v>48</v>
      </c>
      <c r="B80" t="s">
        <v>37</v>
      </c>
      <c r="C80" t="s">
        <v>6</v>
      </c>
      <c r="D80" s="9">
        <f t="shared" ref="D80:O80" si="36">IF(D14 = 0, 0, D50/D14)</f>
        <v>-2.5027393491860997E-3</v>
      </c>
      <c r="E80" s="9">
        <f t="shared" si="36"/>
        <v>1.1016789399739663E-3</v>
      </c>
      <c r="F80" s="9">
        <f t="shared" si="36"/>
        <v>0</v>
      </c>
      <c r="G80" s="9">
        <f t="shared" si="36"/>
        <v>-1.8002399834155271E-3</v>
      </c>
      <c r="H80" s="9">
        <f t="shared" si="36"/>
        <v>0</v>
      </c>
      <c r="I80" s="9">
        <f t="shared" si="36"/>
        <v>0</v>
      </c>
      <c r="J80" s="9">
        <f t="shared" si="36"/>
        <v>-1.3014102251236285E-3</v>
      </c>
      <c r="K80" s="9">
        <f t="shared" si="36"/>
        <v>-1.3014102251236285E-3</v>
      </c>
      <c r="L80" s="9">
        <f t="shared" si="36"/>
        <v>-2.5027393491860997E-3</v>
      </c>
      <c r="M80" s="9">
        <f t="shared" si="36"/>
        <v>1.1016789399739663E-3</v>
      </c>
      <c r="N80" s="9">
        <f t="shared" si="36"/>
        <v>-1.3014102251236285E-3</v>
      </c>
      <c r="O80" s="9">
        <f t="shared" si="36"/>
        <v>-1.7773491278687506E-3</v>
      </c>
    </row>
    <row r="81" spans="1:15" x14ac:dyDescent="0.25">
      <c r="A81" s="1" t="s">
        <v>48</v>
      </c>
      <c r="B81" t="s">
        <v>37</v>
      </c>
      <c r="C81" t="s">
        <v>7</v>
      </c>
      <c r="D81" s="9">
        <f t="shared" ref="D81:O81" si="37">IF(D15 = 0, 0, D51/D15)</f>
        <v>-2.1400381475220973E-3</v>
      </c>
      <c r="E81" s="9">
        <f t="shared" si="37"/>
        <v>2.2656463441920313E-4</v>
      </c>
      <c r="F81" s="9">
        <f t="shared" si="37"/>
        <v>0</v>
      </c>
      <c r="G81" s="9">
        <f t="shared" si="37"/>
        <v>-1.6840728869051288E-3</v>
      </c>
      <c r="H81" s="9">
        <f t="shared" si="37"/>
        <v>0</v>
      </c>
      <c r="I81" s="9">
        <f t="shared" si="37"/>
        <v>0</v>
      </c>
      <c r="J81" s="9">
        <f t="shared" si="37"/>
        <v>-1.1609455492714537E-3</v>
      </c>
      <c r="K81" s="9">
        <f t="shared" si="37"/>
        <v>-1.1609455492714537E-3</v>
      </c>
      <c r="L81" s="9">
        <f t="shared" si="37"/>
        <v>-2.1400381475220973E-3</v>
      </c>
      <c r="M81" s="9">
        <f t="shared" si="37"/>
        <v>2.2656463441920313E-4</v>
      </c>
      <c r="N81" s="9">
        <f t="shared" si="37"/>
        <v>-1.1609455492714537E-3</v>
      </c>
      <c r="O81" s="9">
        <f t="shared" si="37"/>
        <v>-1.6065625244233682E-3</v>
      </c>
    </row>
    <row r="82" spans="1:15" x14ac:dyDescent="0.25">
      <c r="A82" s="1" t="s">
        <v>48</v>
      </c>
      <c r="B82" t="s">
        <v>37</v>
      </c>
      <c r="C82" t="s">
        <v>8</v>
      </c>
      <c r="D82" s="9">
        <f t="shared" ref="D82:O82" si="38">IF(D16 = 0, 0, D52/D16)</f>
        <v>-1.7953936986839665E-3</v>
      </c>
      <c r="E82" s="9">
        <f t="shared" si="38"/>
        <v>-7.1850962614986881E-4</v>
      </c>
      <c r="F82" s="9">
        <f t="shared" si="38"/>
        <v>0</v>
      </c>
      <c r="G82" s="9">
        <f t="shared" si="38"/>
        <v>-1.5861899262462449E-3</v>
      </c>
      <c r="H82" s="9">
        <f t="shared" si="38"/>
        <v>0</v>
      </c>
      <c r="I82" s="9">
        <f t="shared" si="38"/>
        <v>0</v>
      </c>
      <c r="J82" s="9">
        <f t="shared" si="38"/>
        <v>-1.6421625565746819E-3</v>
      </c>
      <c r="K82" s="9">
        <f t="shared" si="38"/>
        <v>-1.6421625565746819E-3</v>
      </c>
      <c r="L82" s="9">
        <f t="shared" si="38"/>
        <v>-1.7953936986839665E-3</v>
      </c>
      <c r="M82" s="9">
        <f t="shared" si="38"/>
        <v>-7.1850962614986881E-4</v>
      </c>
      <c r="N82" s="9">
        <f t="shared" si="38"/>
        <v>-1.6421625565746819E-3</v>
      </c>
      <c r="O82" s="9">
        <f t="shared" si="38"/>
        <v>-1.6015452849203193E-3</v>
      </c>
    </row>
    <row r="83" spans="1:15" x14ac:dyDescent="0.25">
      <c r="A83" s="1" t="s">
        <v>48</v>
      </c>
      <c r="B83" t="s">
        <v>37</v>
      </c>
      <c r="C83" t="s">
        <v>9</v>
      </c>
      <c r="D83" s="9">
        <f t="shared" ref="D83:O83" si="39">IF(D17 = 0, 0, D53/D17)</f>
        <v>0</v>
      </c>
      <c r="E83" s="9">
        <f t="shared" si="39"/>
        <v>0</v>
      </c>
      <c r="F83" s="9">
        <f t="shared" si="39"/>
        <v>-1.0243638729557209E-3</v>
      </c>
      <c r="G83" s="9">
        <f t="shared" si="39"/>
        <v>-1.0243638729557209E-3</v>
      </c>
      <c r="H83" s="9">
        <f t="shared" si="39"/>
        <v>-2.1942380643342105E-3</v>
      </c>
      <c r="I83" s="9">
        <f t="shared" si="39"/>
        <v>1.1458767576941525E-3</v>
      </c>
      <c r="J83" s="9">
        <f t="shared" si="39"/>
        <v>0</v>
      </c>
      <c r="K83" s="9">
        <f t="shared" si="39"/>
        <v>-1.9034488187514495E-3</v>
      </c>
      <c r="L83" s="9">
        <f t="shared" si="39"/>
        <v>-2.1942380643342105E-3</v>
      </c>
      <c r="M83" s="9">
        <f t="shared" si="39"/>
        <v>1.1458767576941525E-3</v>
      </c>
      <c r="N83" s="9">
        <f t="shared" si="39"/>
        <v>-1.0243638729557209E-3</v>
      </c>
      <c r="O83" s="9">
        <f t="shared" si="39"/>
        <v>-1.8837768150334654E-3</v>
      </c>
    </row>
    <row r="84" spans="1:15" x14ac:dyDescent="0.25">
      <c r="A84" s="1" t="s">
        <v>48</v>
      </c>
      <c r="B84" t="s">
        <v>37</v>
      </c>
      <c r="C84" t="s">
        <v>10</v>
      </c>
      <c r="D84" s="9">
        <f t="shared" ref="D84:O84" si="40">IF(D18 = 0, 0, D54/D18)</f>
        <v>0</v>
      </c>
      <c r="E84" s="9">
        <f t="shared" si="40"/>
        <v>0</v>
      </c>
      <c r="F84" s="9">
        <f t="shared" si="40"/>
        <v>-1.246778322925295E-3</v>
      </c>
      <c r="G84" s="9">
        <f t="shared" si="40"/>
        <v>-1.246778322925295E-3</v>
      </c>
      <c r="H84" s="9">
        <f t="shared" si="40"/>
        <v>-1.989943140986496E-3</v>
      </c>
      <c r="I84" s="9">
        <f t="shared" si="40"/>
        <v>6.7699785437325556E-4</v>
      </c>
      <c r="J84" s="9">
        <f t="shared" si="40"/>
        <v>0</v>
      </c>
      <c r="K84" s="9">
        <f t="shared" si="40"/>
        <v>-1.8115379729765793E-3</v>
      </c>
      <c r="L84" s="9">
        <f t="shared" si="40"/>
        <v>-1.989943140986496E-3</v>
      </c>
      <c r="M84" s="9">
        <f t="shared" si="40"/>
        <v>6.7699785437325556E-4</v>
      </c>
      <c r="N84" s="9">
        <f t="shared" si="40"/>
        <v>-1.246778322925295E-3</v>
      </c>
      <c r="O84" s="9">
        <f t="shared" si="40"/>
        <v>-1.7978192302639951E-3</v>
      </c>
    </row>
    <row r="85" spans="1:15" x14ac:dyDescent="0.25">
      <c r="A85" s="1" t="s">
        <v>48</v>
      </c>
      <c r="B85" t="s">
        <v>37</v>
      </c>
      <c r="C85" t="s">
        <v>11</v>
      </c>
      <c r="D85" s="9">
        <f t="shared" ref="D85:O85" si="41">IF(D19 = 0, 0, D55/D19)</f>
        <v>0</v>
      </c>
      <c r="E85" s="9">
        <f t="shared" si="41"/>
        <v>0</v>
      </c>
      <c r="F85" s="9">
        <f t="shared" si="41"/>
        <v>-1.4373590808644363E-3</v>
      </c>
      <c r="G85" s="9">
        <f t="shared" si="41"/>
        <v>-1.4373590808644363E-3</v>
      </c>
      <c r="H85" s="9">
        <f t="shared" si="41"/>
        <v>-1.8587913595648617E-3</v>
      </c>
      <c r="I85" s="9">
        <f t="shared" si="41"/>
        <v>3.1087195035751675E-4</v>
      </c>
      <c r="J85" s="9">
        <f t="shared" si="41"/>
        <v>0</v>
      </c>
      <c r="K85" s="9">
        <f t="shared" si="41"/>
        <v>-1.7515781770743558E-3</v>
      </c>
      <c r="L85" s="9">
        <f t="shared" si="41"/>
        <v>-1.8587913595648617E-3</v>
      </c>
      <c r="M85" s="9">
        <f t="shared" si="41"/>
        <v>3.1087195035751675E-4</v>
      </c>
      <c r="N85" s="9">
        <f t="shared" si="41"/>
        <v>-1.4373590808644363E-3</v>
      </c>
      <c r="O85" s="9">
        <f t="shared" si="41"/>
        <v>-1.7336966391912078E-3</v>
      </c>
    </row>
    <row r="86" spans="1:15" x14ac:dyDescent="0.25">
      <c r="A86" s="1" t="s">
        <v>48</v>
      </c>
      <c r="B86" t="s">
        <v>38</v>
      </c>
      <c r="C86" t="s">
        <v>6</v>
      </c>
      <c r="D86" s="9">
        <f t="shared" ref="D86:O86" si="42">IF(D20 = 0, 0, D56/D20)</f>
        <v>8.3268906570667324E-4</v>
      </c>
      <c r="E86" s="9">
        <f t="shared" si="42"/>
        <v>-3.023637812882445E-3</v>
      </c>
      <c r="F86" s="9">
        <f t="shared" si="42"/>
        <v>0</v>
      </c>
      <c r="G86" s="9">
        <f t="shared" si="42"/>
        <v>7.8907833927589562E-5</v>
      </c>
      <c r="H86" s="9">
        <f t="shared" si="42"/>
        <v>0</v>
      </c>
      <c r="I86" s="9">
        <f t="shared" si="42"/>
        <v>0</v>
      </c>
      <c r="J86" s="9">
        <f t="shared" si="42"/>
        <v>-2.1855237414024188E-4</v>
      </c>
      <c r="K86" s="9">
        <f t="shared" si="42"/>
        <v>-2.1855237414024188E-4</v>
      </c>
      <c r="L86" s="9">
        <f t="shared" si="42"/>
        <v>8.3268906570667324E-4</v>
      </c>
      <c r="M86" s="9">
        <f t="shared" si="42"/>
        <v>-3.023637812882445E-3</v>
      </c>
      <c r="N86" s="9">
        <f t="shared" si="42"/>
        <v>-2.1855237414024188E-4</v>
      </c>
      <c r="O86" s="9">
        <f t="shared" si="42"/>
        <v>6.5251140366202632E-5</v>
      </c>
    </row>
    <row r="87" spans="1:15" x14ac:dyDescent="0.25">
      <c r="A87" s="1" t="s">
        <v>48</v>
      </c>
      <c r="B87" t="s">
        <v>38</v>
      </c>
      <c r="C87" t="s">
        <v>7</v>
      </c>
      <c r="D87" s="9">
        <f t="shared" ref="D87:O87" si="43">IF(D21 = 0, 0, D57/D21)</f>
        <v>1.3571546586751051E-3</v>
      </c>
      <c r="E87" s="9">
        <f t="shared" si="43"/>
        <v>-4.8303965938744E-3</v>
      </c>
      <c r="F87" s="9">
        <f t="shared" si="43"/>
        <v>0</v>
      </c>
      <c r="G87" s="9">
        <f t="shared" si="43"/>
        <v>1.6273875075025799E-4</v>
      </c>
      <c r="H87" s="9">
        <f t="shared" si="43"/>
        <v>0</v>
      </c>
      <c r="I87" s="9">
        <f t="shared" si="43"/>
        <v>0</v>
      </c>
      <c r="J87" s="9">
        <f t="shared" si="43"/>
        <v>-2.4676359683559574E-5</v>
      </c>
      <c r="K87" s="9">
        <f t="shared" si="43"/>
        <v>-2.4676359683559574E-5</v>
      </c>
      <c r="L87" s="9">
        <f t="shared" si="43"/>
        <v>1.3571546586751051E-3</v>
      </c>
      <c r="M87" s="9">
        <f t="shared" si="43"/>
        <v>-4.8303965938744E-3</v>
      </c>
      <c r="N87" s="9">
        <f t="shared" si="43"/>
        <v>-2.4676359683559574E-5</v>
      </c>
      <c r="O87" s="9">
        <f t="shared" si="43"/>
        <v>1.3495756666499772E-4</v>
      </c>
    </row>
    <row r="88" spans="1:15" x14ac:dyDescent="0.25">
      <c r="A88" s="1" t="s">
        <v>48</v>
      </c>
      <c r="B88" t="s">
        <v>38</v>
      </c>
      <c r="C88" t="s">
        <v>8</v>
      </c>
      <c r="D88" s="9">
        <f t="shared" ref="D88:O88" si="44">IF(D22 = 0, 0, D58/D22)</f>
        <v>-4.2319297697231205E-4</v>
      </c>
      <c r="E88" s="9">
        <f t="shared" si="44"/>
        <v>-3.0066876679573744E-3</v>
      </c>
      <c r="F88" s="9">
        <f t="shared" si="44"/>
        <v>0</v>
      </c>
      <c r="G88" s="9">
        <f t="shared" si="44"/>
        <v>-9.255186732735714E-4</v>
      </c>
      <c r="H88" s="9">
        <f t="shared" si="44"/>
        <v>0</v>
      </c>
      <c r="I88" s="9">
        <f t="shared" si="44"/>
        <v>0</v>
      </c>
      <c r="J88" s="9">
        <f t="shared" si="44"/>
        <v>-7.0937058249009963E-4</v>
      </c>
      <c r="K88" s="9">
        <f t="shared" si="44"/>
        <v>-7.0937058249009963E-4</v>
      </c>
      <c r="L88" s="9">
        <f t="shared" si="44"/>
        <v>-4.2319297697231205E-4</v>
      </c>
      <c r="M88" s="9">
        <f t="shared" si="44"/>
        <v>-3.0066876679573744E-3</v>
      </c>
      <c r="N88" s="9">
        <f t="shared" si="44"/>
        <v>-7.0937058249009963E-4</v>
      </c>
      <c r="O88" s="9">
        <f t="shared" si="44"/>
        <v>-8.6622368544229467E-4</v>
      </c>
    </row>
    <row r="89" spans="1:15" x14ac:dyDescent="0.25">
      <c r="A89" s="1" t="s">
        <v>48</v>
      </c>
      <c r="B89" t="s">
        <v>38</v>
      </c>
      <c r="C89" t="s">
        <v>9</v>
      </c>
      <c r="D89" s="9">
        <f t="shared" ref="D89:O89" si="45">IF(D23 = 0, 0, D59/D23)</f>
        <v>0</v>
      </c>
      <c r="E89" s="9">
        <f t="shared" si="45"/>
        <v>0</v>
      </c>
      <c r="F89" s="9">
        <f t="shared" si="45"/>
        <v>5.60347640099038E-4</v>
      </c>
      <c r="G89" s="9">
        <f t="shared" si="45"/>
        <v>5.60347640099038E-4</v>
      </c>
      <c r="H89" s="9">
        <f t="shared" si="45"/>
        <v>2.7734982490083739E-4</v>
      </c>
      <c r="I89" s="9">
        <f t="shared" si="45"/>
        <v>-5.9028184878689247E-3</v>
      </c>
      <c r="J89" s="9">
        <f t="shared" si="45"/>
        <v>0</v>
      </c>
      <c r="K89" s="9">
        <f t="shared" si="45"/>
        <v>-2.6233729721506882E-4</v>
      </c>
      <c r="L89" s="9">
        <f t="shared" si="45"/>
        <v>2.7734982490083739E-4</v>
      </c>
      <c r="M89" s="9">
        <f t="shared" si="45"/>
        <v>-5.9028184878689247E-3</v>
      </c>
      <c r="N89" s="9">
        <f t="shared" si="45"/>
        <v>5.60347640099038E-4</v>
      </c>
      <c r="O89" s="9">
        <f t="shared" si="45"/>
        <v>-2.4391155110992276E-4</v>
      </c>
    </row>
    <row r="90" spans="1:15" x14ac:dyDescent="0.25">
      <c r="A90" s="1" t="s">
        <v>48</v>
      </c>
      <c r="B90" t="s">
        <v>38</v>
      </c>
      <c r="C90" t="s">
        <v>10</v>
      </c>
      <c r="D90" s="9">
        <f t="shared" ref="D90:O90" si="46">IF(D24 = 0, 0, D60/D24)</f>
        <v>0</v>
      </c>
      <c r="E90" s="9">
        <f t="shared" si="46"/>
        <v>0</v>
      </c>
      <c r="F90" s="9">
        <f t="shared" si="46"/>
        <v>1.128385252873617E-3</v>
      </c>
      <c r="G90" s="9">
        <f t="shared" si="46"/>
        <v>1.128385252873617E-3</v>
      </c>
      <c r="H90" s="9">
        <f t="shared" si="46"/>
        <v>-2.6840692246705907E-4</v>
      </c>
      <c r="I90" s="9">
        <f t="shared" si="46"/>
        <v>-1.3631982710865628E-3</v>
      </c>
      <c r="J90" s="9">
        <f t="shared" si="46"/>
        <v>0</v>
      </c>
      <c r="K90" s="9">
        <f t="shared" si="46"/>
        <v>-3.4182563284198707E-4</v>
      </c>
      <c r="L90" s="9">
        <f t="shared" si="46"/>
        <v>-2.6840692246705907E-4</v>
      </c>
      <c r="M90" s="9">
        <f t="shared" si="46"/>
        <v>-1.3631982710865628E-3</v>
      </c>
      <c r="N90" s="9">
        <f t="shared" si="46"/>
        <v>1.128385252873617E-3</v>
      </c>
      <c r="O90" s="9">
        <f t="shared" si="46"/>
        <v>-3.0609259299109703E-4</v>
      </c>
    </row>
    <row r="91" spans="1:15" x14ac:dyDescent="0.25">
      <c r="A91" s="1" t="s">
        <v>48</v>
      </c>
      <c r="B91" t="s">
        <v>38</v>
      </c>
      <c r="C91" t="s">
        <v>11</v>
      </c>
      <c r="D91" s="9">
        <f t="shared" ref="D91:O91" si="47">IF(D25 = 0, 0, D61/D25)</f>
        <v>0</v>
      </c>
      <c r="E91" s="9">
        <f t="shared" si="47"/>
        <v>0</v>
      </c>
      <c r="F91" s="9">
        <f t="shared" si="47"/>
        <v>6.4822314436385308E-4</v>
      </c>
      <c r="G91" s="9">
        <f t="shared" si="47"/>
        <v>6.4822314436385308E-4</v>
      </c>
      <c r="H91" s="9">
        <f t="shared" si="47"/>
        <v>-6.5559297302080627E-4</v>
      </c>
      <c r="I91" s="9">
        <f t="shared" si="47"/>
        <v>1.5599465287710586E-3</v>
      </c>
      <c r="J91" s="9">
        <f t="shared" si="47"/>
        <v>0</v>
      </c>
      <c r="K91" s="9">
        <f t="shared" si="47"/>
        <v>-5.4588664042502181E-4</v>
      </c>
      <c r="L91" s="9">
        <f t="shared" si="47"/>
        <v>-6.5559297302080627E-4</v>
      </c>
      <c r="M91" s="9">
        <f t="shared" si="47"/>
        <v>1.5599465287710586E-3</v>
      </c>
      <c r="N91" s="9">
        <f t="shared" si="47"/>
        <v>6.4822314436385308E-4</v>
      </c>
      <c r="O91" s="9">
        <f t="shared" si="47"/>
        <v>-4.7791222972043927E-4</v>
      </c>
    </row>
    <row r="92" spans="1:15" x14ac:dyDescent="0.25">
      <c r="A92" s="1" t="s">
        <v>48</v>
      </c>
      <c r="B92" t="s">
        <v>39</v>
      </c>
      <c r="C92" t="s">
        <v>6</v>
      </c>
      <c r="D92" s="9">
        <f t="shared" ref="D92:O92" si="48">IF(D26 = 0, 0, D62/D26)</f>
        <v>-2.3861900242968276E-4</v>
      </c>
      <c r="E92" s="9">
        <f t="shared" si="48"/>
        <v>3.0563857497537775E-4</v>
      </c>
      <c r="F92" s="9">
        <f t="shared" si="48"/>
        <v>0</v>
      </c>
      <c r="G92" s="9">
        <f t="shared" si="48"/>
        <v>-1.3256512331113533E-4</v>
      </c>
      <c r="H92" s="9">
        <f t="shared" si="48"/>
        <v>0</v>
      </c>
      <c r="I92" s="9">
        <f t="shared" si="48"/>
        <v>0</v>
      </c>
      <c r="J92" s="9">
        <f t="shared" si="48"/>
        <v>-4.677704612496993E-4</v>
      </c>
      <c r="K92" s="9">
        <f t="shared" si="48"/>
        <v>-4.677704612496993E-4</v>
      </c>
      <c r="L92" s="9">
        <f t="shared" si="48"/>
        <v>-2.3861900242968276E-4</v>
      </c>
      <c r="M92" s="9">
        <f t="shared" si="48"/>
        <v>3.0563857497537775E-4</v>
      </c>
      <c r="N92" s="9">
        <f t="shared" si="48"/>
        <v>-4.677704612496993E-4</v>
      </c>
      <c r="O92" s="9">
        <f t="shared" si="48"/>
        <v>-1.479503659295262E-4</v>
      </c>
    </row>
    <row r="93" spans="1:15" x14ac:dyDescent="0.25">
      <c r="A93" s="1" t="s">
        <v>48</v>
      </c>
      <c r="B93" t="s">
        <v>39</v>
      </c>
      <c r="C93" t="s">
        <v>7</v>
      </c>
      <c r="D93" s="9">
        <f t="shared" ref="D93:O93" si="49">IF(D27 = 0, 0, D63/D27)</f>
        <v>-5.4740769366927976E-4</v>
      </c>
      <c r="E93" s="9">
        <f t="shared" si="49"/>
        <v>5.9930814269632297E-4</v>
      </c>
      <c r="F93" s="9">
        <f t="shared" si="49"/>
        <v>0</v>
      </c>
      <c r="G93" s="9">
        <f t="shared" si="49"/>
        <v>-3.271561243490817E-4</v>
      </c>
      <c r="H93" s="9">
        <f t="shared" si="49"/>
        <v>0</v>
      </c>
      <c r="I93" s="9">
        <f t="shared" si="49"/>
        <v>0</v>
      </c>
      <c r="J93" s="9">
        <f t="shared" si="49"/>
        <v>-1.9559103171469197E-4</v>
      </c>
      <c r="K93" s="9">
        <f t="shared" si="49"/>
        <v>-1.9559103171469197E-4</v>
      </c>
      <c r="L93" s="9">
        <f t="shared" si="49"/>
        <v>-5.4740769366927976E-4</v>
      </c>
      <c r="M93" s="9">
        <f t="shared" si="49"/>
        <v>5.9930814269632297E-4</v>
      </c>
      <c r="N93" s="9">
        <f t="shared" si="49"/>
        <v>-1.9559103171469197E-4</v>
      </c>
      <c r="O93" s="9">
        <f t="shared" si="49"/>
        <v>-3.0765689261391948E-4</v>
      </c>
    </row>
    <row r="94" spans="1:15" x14ac:dyDescent="0.25">
      <c r="A94" s="1" t="s">
        <v>48</v>
      </c>
      <c r="B94" t="s">
        <v>39</v>
      </c>
      <c r="C94" t="s">
        <v>8</v>
      </c>
      <c r="D94" s="9">
        <f t="shared" ref="D94:O94" si="50">IF(D28 = 0, 0, D64/D28)</f>
        <v>-1.5934283144508549E-3</v>
      </c>
      <c r="E94" s="9">
        <f t="shared" si="50"/>
        <v>4.4591624959166361E-4</v>
      </c>
      <c r="F94" s="9">
        <f t="shared" si="50"/>
        <v>0</v>
      </c>
      <c r="G94" s="9">
        <f t="shared" si="50"/>
        <v>-1.1977312667368518E-3</v>
      </c>
      <c r="H94" s="9">
        <f t="shared" si="50"/>
        <v>0</v>
      </c>
      <c r="I94" s="9">
        <f t="shared" si="50"/>
        <v>0</v>
      </c>
      <c r="J94" s="9">
        <f t="shared" si="50"/>
        <v>-1.6755312474326808E-3</v>
      </c>
      <c r="K94" s="9">
        <f t="shared" si="50"/>
        <v>-1.6755312474326808E-3</v>
      </c>
      <c r="L94" s="9">
        <f t="shared" si="50"/>
        <v>-1.5934283144508549E-3</v>
      </c>
      <c r="M94" s="9">
        <f t="shared" si="50"/>
        <v>4.4591624959166361E-4</v>
      </c>
      <c r="N94" s="9">
        <f t="shared" si="50"/>
        <v>-1.6755312474326808E-3</v>
      </c>
      <c r="O94" s="9">
        <f t="shared" si="50"/>
        <v>-1.3288246833858422E-3</v>
      </c>
    </row>
    <row r="95" spans="1:15" x14ac:dyDescent="0.25">
      <c r="A95" s="1" t="s">
        <v>48</v>
      </c>
      <c r="B95" t="s">
        <v>39</v>
      </c>
      <c r="C95" t="s">
        <v>9</v>
      </c>
      <c r="D95" s="9">
        <f t="shared" ref="D95:O95" si="51">IF(D29 = 0, 0, D65/D29)</f>
        <v>0</v>
      </c>
      <c r="E95" s="9">
        <f t="shared" si="51"/>
        <v>0</v>
      </c>
      <c r="F95" s="9">
        <f t="shared" si="51"/>
        <v>-4.2935015345531806E-5</v>
      </c>
      <c r="G95" s="9">
        <f t="shared" si="51"/>
        <v>-4.2935015345531806E-5</v>
      </c>
      <c r="H95" s="9">
        <f t="shared" si="51"/>
        <v>-8.9636403821112678E-5</v>
      </c>
      <c r="I95" s="9">
        <f t="shared" si="51"/>
        <v>2.7976774374996466E-4</v>
      </c>
      <c r="J95" s="9">
        <f t="shared" si="51"/>
        <v>0</v>
      </c>
      <c r="K95" s="9">
        <f t="shared" si="51"/>
        <v>-5.7559953008383813E-5</v>
      </c>
      <c r="L95" s="9">
        <f t="shared" si="51"/>
        <v>-8.9636403821112678E-5</v>
      </c>
      <c r="M95" s="9">
        <f t="shared" si="51"/>
        <v>2.7976774374996466E-4</v>
      </c>
      <c r="N95" s="9">
        <f t="shared" si="51"/>
        <v>-4.2935015345531806E-5</v>
      </c>
      <c r="O95" s="9">
        <f t="shared" si="51"/>
        <v>-5.7232133503586187E-5</v>
      </c>
    </row>
    <row r="96" spans="1:15" x14ac:dyDescent="0.25">
      <c r="A96" s="1" t="s">
        <v>48</v>
      </c>
      <c r="B96" t="s">
        <v>39</v>
      </c>
      <c r="C96" t="s">
        <v>10</v>
      </c>
      <c r="D96" s="9">
        <f t="shared" ref="D96:O96" si="52">IF(D30 = 0, 0, D66/D30)</f>
        <v>0</v>
      </c>
      <c r="E96" s="9">
        <f t="shared" si="52"/>
        <v>0</v>
      </c>
      <c r="F96" s="9">
        <f t="shared" si="52"/>
        <v>-2.3864119447900581E-4</v>
      </c>
      <c r="G96" s="9">
        <f t="shared" si="52"/>
        <v>-2.3864119447900581E-4</v>
      </c>
      <c r="H96" s="9">
        <f t="shared" si="52"/>
        <v>-8.0928693459761717E-4</v>
      </c>
      <c r="I96" s="9">
        <f t="shared" si="52"/>
        <v>1.1812134944852342E-3</v>
      </c>
      <c r="J96" s="9">
        <f t="shared" si="52"/>
        <v>0</v>
      </c>
      <c r="K96" s="9">
        <f t="shared" si="52"/>
        <v>-6.7593672108118437E-4</v>
      </c>
      <c r="L96" s="9">
        <f t="shared" si="52"/>
        <v>-8.0928693459761717E-4</v>
      </c>
      <c r="M96" s="9">
        <f t="shared" si="52"/>
        <v>1.1812134944852342E-3</v>
      </c>
      <c r="N96" s="9">
        <f t="shared" si="52"/>
        <v>-2.3864119447900581E-4</v>
      </c>
      <c r="O96" s="9">
        <f t="shared" si="52"/>
        <v>-6.6529313212309216E-4</v>
      </c>
    </row>
    <row r="97" spans="1:15" x14ac:dyDescent="0.25">
      <c r="A97" s="1" t="s">
        <v>48</v>
      </c>
      <c r="B97" t="s">
        <v>39</v>
      </c>
      <c r="C97" t="s">
        <v>11</v>
      </c>
      <c r="D97" s="9">
        <f t="shared" ref="D97:O97" si="53">IF(D31 = 0, 0, D67/D31)</f>
        <v>0</v>
      </c>
      <c r="E97" s="9">
        <f t="shared" si="53"/>
        <v>0</v>
      </c>
      <c r="F97" s="9">
        <f t="shared" si="53"/>
        <v>-1.2052931427925244E-3</v>
      </c>
      <c r="G97" s="9">
        <f t="shared" si="53"/>
        <v>-1.2052931427925244E-3</v>
      </c>
      <c r="H97" s="9">
        <f t="shared" si="53"/>
        <v>-1.7550185668862019E-3</v>
      </c>
      <c r="I97" s="9">
        <f t="shared" si="53"/>
        <v>2.4819359800765271E-3</v>
      </c>
      <c r="J97" s="9">
        <f t="shared" si="53"/>
        <v>0</v>
      </c>
      <c r="K97" s="9">
        <f t="shared" si="53"/>
        <v>-1.544776269729923E-3</v>
      </c>
      <c r="L97" s="9">
        <f t="shared" si="53"/>
        <v>-1.7550185668862019E-3</v>
      </c>
      <c r="M97" s="9">
        <f t="shared" si="53"/>
        <v>2.4819359800765271E-3</v>
      </c>
      <c r="N97" s="9">
        <f t="shared" si="53"/>
        <v>-1.2052931427925244E-3</v>
      </c>
      <c r="O97" s="9">
        <f t="shared" si="53"/>
        <v>-1.5254295018689206E-3</v>
      </c>
    </row>
    <row r="98" spans="1:15" x14ac:dyDescent="0.25">
      <c r="A98" s="1" t="s">
        <v>48</v>
      </c>
      <c r="B98" t="s">
        <v>59</v>
      </c>
      <c r="C98" t="s">
        <v>6</v>
      </c>
      <c r="D98" s="9">
        <f t="shared" ref="D98:O98" si="54">IF(D32 = 0, 0, D68/D32)</f>
        <v>-5.8419441655816158E-5</v>
      </c>
      <c r="E98" s="9">
        <f t="shared" si="54"/>
        <v>-1.6092599713730149E-4</v>
      </c>
      <c r="F98" s="9">
        <f t="shared" si="54"/>
        <v>0</v>
      </c>
      <c r="G98" s="9">
        <f t="shared" si="54"/>
        <v>-7.8402594368092462E-5</v>
      </c>
      <c r="H98" s="9">
        <f t="shared" si="54"/>
        <v>0</v>
      </c>
      <c r="I98" s="9">
        <f t="shared" si="54"/>
        <v>0</v>
      </c>
      <c r="J98" s="9">
        <f t="shared" si="54"/>
        <v>-5.8490238239015295E-4</v>
      </c>
      <c r="K98" s="9">
        <f t="shared" si="54"/>
        <v>-5.8490238239015295E-4</v>
      </c>
      <c r="L98" s="9">
        <f t="shared" si="54"/>
        <v>-5.8419441655816158E-5</v>
      </c>
      <c r="M98" s="9">
        <f t="shared" si="54"/>
        <v>-1.6092599713730149E-4</v>
      </c>
      <c r="N98" s="9">
        <f t="shared" si="54"/>
        <v>-5.8490238239015295E-4</v>
      </c>
      <c r="O98" s="9">
        <f t="shared" si="54"/>
        <v>-1.0164246747815239E-4</v>
      </c>
    </row>
    <row r="99" spans="1:15" x14ac:dyDescent="0.25">
      <c r="A99" s="1" t="s">
        <v>48</v>
      </c>
      <c r="B99" t="s">
        <v>59</v>
      </c>
      <c r="C99" t="s">
        <v>7</v>
      </c>
      <c r="D99" s="9">
        <f t="shared" ref="D99:O99" si="55">IF(D33 = 0, 0, D69/D33)</f>
        <v>-1.3921185824739083E-4</v>
      </c>
      <c r="E99" s="9">
        <f t="shared" si="55"/>
        <v>-4.2015884272600227E-4</v>
      </c>
      <c r="F99" s="9">
        <f t="shared" si="55"/>
        <v>0</v>
      </c>
      <c r="G99" s="9">
        <f t="shared" si="55"/>
        <v>-1.9322381109580249E-4</v>
      </c>
      <c r="H99" s="9">
        <f t="shared" si="55"/>
        <v>0</v>
      </c>
      <c r="I99" s="9">
        <f t="shared" si="55"/>
        <v>0</v>
      </c>
      <c r="J99" s="9">
        <f t="shared" si="55"/>
        <v>-2.0215848713396083E-4</v>
      </c>
      <c r="K99" s="9">
        <f t="shared" si="55"/>
        <v>-2.0215848713396083E-4</v>
      </c>
      <c r="L99" s="9">
        <f t="shared" si="55"/>
        <v>-1.3921185824739083E-4</v>
      </c>
      <c r="M99" s="9">
        <f t="shared" si="55"/>
        <v>-4.2015884272600227E-4</v>
      </c>
      <c r="N99" s="9">
        <f t="shared" si="55"/>
        <v>-2.0215848713396083E-4</v>
      </c>
      <c r="O99" s="9">
        <f t="shared" si="55"/>
        <v>-1.9454816579412564E-4</v>
      </c>
    </row>
    <row r="100" spans="1:15" x14ac:dyDescent="0.25">
      <c r="A100" s="1" t="s">
        <v>48</v>
      </c>
      <c r="B100" t="s">
        <v>59</v>
      </c>
      <c r="C100" t="s">
        <v>8</v>
      </c>
      <c r="D100" s="9">
        <f t="shared" ref="D100:O100" si="56">IF(D34 = 0, 0, D70/D34)</f>
        <v>-4.4769722386870563E-4</v>
      </c>
      <c r="E100" s="9">
        <f t="shared" si="56"/>
        <v>-1.6910727722535153E-3</v>
      </c>
      <c r="F100" s="9">
        <f t="shared" si="56"/>
        <v>0</v>
      </c>
      <c r="G100" s="9">
        <f t="shared" si="56"/>
        <v>-6.8934823604141905E-4</v>
      </c>
      <c r="H100" s="9">
        <f t="shared" si="56"/>
        <v>0</v>
      </c>
      <c r="I100" s="9">
        <f t="shared" si="56"/>
        <v>0</v>
      </c>
      <c r="J100" s="9">
        <f t="shared" si="56"/>
        <v>-2.066733344622916E-3</v>
      </c>
      <c r="K100" s="9">
        <f t="shared" si="56"/>
        <v>-2.066733344622916E-3</v>
      </c>
      <c r="L100" s="9">
        <f t="shared" si="56"/>
        <v>-4.4769722386870563E-4</v>
      </c>
      <c r="M100" s="9">
        <f t="shared" si="56"/>
        <v>-1.6910727722535153E-3</v>
      </c>
      <c r="N100" s="9">
        <f t="shared" si="56"/>
        <v>-2.066733344622916E-3</v>
      </c>
      <c r="O100" s="9">
        <f t="shared" si="56"/>
        <v>-1.0671285635122133E-3</v>
      </c>
    </row>
    <row r="101" spans="1:15" x14ac:dyDescent="0.25">
      <c r="A101" s="1" t="s">
        <v>48</v>
      </c>
      <c r="B101" t="s">
        <v>59</v>
      </c>
      <c r="C101" t="s">
        <v>9</v>
      </c>
      <c r="D101" s="9">
        <f t="shared" ref="D101:O101" si="57">IF(D35 = 0, 0, D71/D35)</f>
        <v>0</v>
      </c>
      <c r="E101" s="9">
        <f t="shared" si="57"/>
        <v>0</v>
      </c>
      <c r="F101" s="9">
        <f t="shared" si="57"/>
        <v>-1.0353014395390317E-5</v>
      </c>
      <c r="G101" s="9">
        <f t="shared" si="57"/>
        <v>-1.0353014395390317E-5</v>
      </c>
      <c r="H101" s="9">
        <f t="shared" si="57"/>
        <v>-7.593635360167195E-5</v>
      </c>
      <c r="I101" s="9">
        <f t="shared" si="57"/>
        <v>1.5338299519227942E-4</v>
      </c>
      <c r="J101" s="9">
        <f t="shared" si="57"/>
        <v>0</v>
      </c>
      <c r="K101" s="9">
        <f t="shared" si="57"/>
        <v>-5.6017161301735067E-5</v>
      </c>
      <c r="L101" s="9">
        <f t="shared" si="57"/>
        <v>-7.593635360167195E-5</v>
      </c>
      <c r="M101" s="9">
        <f t="shared" si="57"/>
        <v>1.5338299519227942E-4</v>
      </c>
      <c r="N101" s="9">
        <f t="shared" si="57"/>
        <v>-1.0353014395390317E-5</v>
      </c>
      <c r="O101" s="9">
        <f t="shared" si="57"/>
        <v>-5.4993580044564951E-5</v>
      </c>
    </row>
    <row r="102" spans="1:15" x14ac:dyDescent="0.25">
      <c r="A102" s="1" t="s">
        <v>48</v>
      </c>
      <c r="B102" t="s">
        <v>59</v>
      </c>
      <c r="C102" t="s">
        <v>10</v>
      </c>
      <c r="D102" s="9">
        <f t="shared" ref="D102:O102" si="58">IF(D36 = 0, 0, D72/D36)</f>
        <v>0</v>
      </c>
      <c r="E102" s="9">
        <f t="shared" si="58"/>
        <v>0</v>
      </c>
      <c r="F102" s="9">
        <f t="shared" si="58"/>
        <v>-5.7075529971978891E-5</v>
      </c>
      <c r="G102" s="9">
        <f t="shared" si="58"/>
        <v>-5.7075529971978891E-5</v>
      </c>
      <c r="H102" s="9">
        <f t="shared" si="58"/>
        <v>-9.6815105809492036E-4</v>
      </c>
      <c r="I102" s="9">
        <f t="shared" si="58"/>
        <v>1.5841854058304822E-3</v>
      </c>
      <c r="J102" s="9">
        <f t="shared" si="58"/>
        <v>0</v>
      </c>
      <c r="K102" s="9">
        <f t="shared" si="58"/>
        <v>-7.9684382066104041E-4</v>
      </c>
      <c r="L102" s="9">
        <f t="shared" si="58"/>
        <v>-9.6815105809492036E-4</v>
      </c>
      <c r="M102" s="9">
        <f t="shared" si="58"/>
        <v>1.5841854058304822E-3</v>
      </c>
      <c r="N102" s="9">
        <f t="shared" si="58"/>
        <v>-5.7075529971978891E-5</v>
      </c>
      <c r="O102" s="9">
        <f t="shared" si="58"/>
        <v>-7.7883048475016123E-4</v>
      </c>
    </row>
    <row r="103" spans="1:15" x14ac:dyDescent="0.25">
      <c r="A103" s="1" t="s">
        <v>48</v>
      </c>
      <c r="B103" t="s">
        <v>59</v>
      </c>
      <c r="C103" t="s">
        <v>11</v>
      </c>
      <c r="D103" s="9">
        <f t="shared" ref="D103:O103" si="59">IF(D37 = 0, 0, D73/D37)</f>
        <v>0</v>
      </c>
      <c r="E103" s="9">
        <f t="shared" si="59"/>
        <v>0</v>
      </c>
      <c r="F103" s="9">
        <f t="shared" si="59"/>
        <v>-3.3942595441130338E-4</v>
      </c>
      <c r="G103" s="9">
        <f t="shared" si="59"/>
        <v>-3.3942595441130338E-4</v>
      </c>
      <c r="H103" s="9">
        <f t="shared" si="59"/>
        <v>-2.1101865253692485E-3</v>
      </c>
      <c r="I103" s="9">
        <f t="shared" si="59"/>
        <v>4.1112014157286322E-3</v>
      </c>
      <c r="J103" s="9">
        <f t="shared" si="59"/>
        <v>0</v>
      </c>
      <c r="K103" s="9">
        <f t="shared" si="59"/>
        <v>-1.8002294650148881E-3</v>
      </c>
      <c r="L103" s="9">
        <f t="shared" si="59"/>
        <v>-2.1101865253692485E-3</v>
      </c>
      <c r="M103" s="9">
        <f t="shared" si="59"/>
        <v>4.1112014157286322E-3</v>
      </c>
      <c r="N103" s="9">
        <f t="shared" si="59"/>
        <v>-3.3942595441130338E-4</v>
      </c>
      <c r="O103" s="9">
        <f t="shared" si="59"/>
        <v>-1.7169531969756736E-3</v>
      </c>
    </row>
    <row r="104" spans="1:15" x14ac:dyDescent="0.25">
      <c r="A104" s="1" t="s">
        <v>49</v>
      </c>
      <c r="B104" t="s">
        <v>36</v>
      </c>
      <c r="C104" t="s">
        <v>6</v>
      </c>
      <c r="D104" s="1">
        <f t="shared" ref="D104:O104" si="60">D14-D8</f>
        <v>83.086031966959126</v>
      </c>
      <c r="E104" s="1">
        <f t="shared" si="60"/>
        <v>-9.3810038239898859</v>
      </c>
      <c r="F104" s="1">
        <f t="shared" si="60"/>
        <v>0</v>
      </c>
      <c r="G104" s="1">
        <f t="shared" si="60"/>
        <v>73.705028142081574</v>
      </c>
      <c r="H104" s="1">
        <f t="shared" si="60"/>
        <v>0</v>
      </c>
      <c r="I104" s="1">
        <f t="shared" si="60"/>
        <v>0</v>
      </c>
      <c r="J104" s="1">
        <f t="shared" si="60"/>
        <v>17.20451340170257</v>
      </c>
      <c r="K104" s="1">
        <f t="shared" si="60"/>
        <v>17.20451340170257</v>
      </c>
      <c r="L104" s="1">
        <f t="shared" si="60"/>
        <v>83.086031966959126</v>
      </c>
      <c r="M104" s="1">
        <f t="shared" si="60"/>
        <v>-9.3810038239898859</v>
      </c>
      <c r="N104" s="1">
        <f t="shared" si="60"/>
        <v>17.20451340170257</v>
      </c>
      <c r="O104" s="1">
        <f t="shared" si="60"/>
        <v>90.909541544038802</v>
      </c>
    </row>
    <row r="105" spans="1:15" x14ac:dyDescent="0.25">
      <c r="A105" s="1" t="s">
        <v>49</v>
      </c>
      <c r="B105" t="s">
        <v>36</v>
      </c>
      <c r="C105" t="s">
        <v>7</v>
      </c>
      <c r="D105" s="1">
        <f t="shared" ref="D105:O105" si="61">D15-D9</f>
        <v>212.660154965939</v>
      </c>
      <c r="E105" s="1">
        <f t="shared" si="61"/>
        <v>-16.656261363998055</v>
      </c>
      <c r="F105" s="1">
        <f t="shared" si="61"/>
        <v>0</v>
      </c>
      <c r="G105" s="1">
        <f t="shared" si="61"/>
        <v>196.00389360298868</v>
      </c>
      <c r="H105" s="1">
        <f t="shared" si="61"/>
        <v>0</v>
      </c>
      <c r="I105" s="1">
        <f t="shared" si="61"/>
        <v>0</v>
      </c>
      <c r="J105" s="1">
        <f t="shared" si="61"/>
        <v>28.962064956998802</v>
      </c>
      <c r="K105" s="1">
        <f t="shared" si="61"/>
        <v>28.962064956998802</v>
      </c>
      <c r="L105" s="1">
        <f t="shared" si="61"/>
        <v>212.660154965939</v>
      </c>
      <c r="M105" s="1">
        <f t="shared" si="61"/>
        <v>-16.656261363998055</v>
      </c>
      <c r="N105" s="1">
        <f t="shared" si="61"/>
        <v>28.962064956998802</v>
      </c>
      <c r="O105" s="1">
        <f t="shared" si="61"/>
        <v>224.96595856000204</v>
      </c>
    </row>
    <row r="106" spans="1:15" x14ac:dyDescent="0.25">
      <c r="A106" s="1" t="s">
        <v>49</v>
      </c>
      <c r="B106" t="s">
        <v>36</v>
      </c>
      <c r="C106" t="s">
        <v>8</v>
      </c>
      <c r="D106" s="1">
        <f t="shared" ref="D106:O106" si="62">D16-D10</f>
        <v>920.83613203803543</v>
      </c>
      <c r="E106" s="1">
        <f t="shared" si="62"/>
        <v>10.614443225000286</v>
      </c>
      <c r="F106" s="1">
        <f t="shared" si="62"/>
        <v>0</v>
      </c>
      <c r="G106" s="1">
        <f t="shared" si="62"/>
        <v>931.45057526405435</v>
      </c>
      <c r="H106" s="1">
        <f t="shared" si="62"/>
        <v>0</v>
      </c>
      <c r="I106" s="1">
        <f t="shared" si="62"/>
        <v>0</v>
      </c>
      <c r="J106" s="1">
        <f t="shared" si="62"/>
        <v>529.11921792599605</v>
      </c>
      <c r="K106" s="1">
        <f t="shared" si="62"/>
        <v>529.11921792599605</v>
      </c>
      <c r="L106" s="1">
        <f t="shared" si="62"/>
        <v>920.83613203803543</v>
      </c>
      <c r="M106" s="1">
        <f t="shared" si="62"/>
        <v>10.614443225000286</v>
      </c>
      <c r="N106" s="1">
        <f t="shared" si="62"/>
        <v>529.11921792599605</v>
      </c>
      <c r="O106" s="1">
        <f t="shared" si="62"/>
        <v>1460.5697931898758</v>
      </c>
    </row>
    <row r="107" spans="1:15" x14ac:dyDescent="0.25">
      <c r="A107" s="1" t="s">
        <v>49</v>
      </c>
      <c r="B107" t="s">
        <v>36</v>
      </c>
      <c r="C107" t="s">
        <v>9</v>
      </c>
      <c r="D107" s="1">
        <f t="shared" ref="D107:O107" si="63">D17-D11</f>
        <v>0</v>
      </c>
      <c r="E107" s="1">
        <f t="shared" si="63"/>
        <v>0</v>
      </c>
      <c r="F107" s="1">
        <f t="shared" si="63"/>
        <v>0.23980487500011805</v>
      </c>
      <c r="G107" s="1">
        <f t="shared" si="63"/>
        <v>0.23980487500011805</v>
      </c>
      <c r="H107" s="1">
        <f t="shared" si="63"/>
        <v>54.685787677997723</v>
      </c>
      <c r="I107" s="1">
        <f t="shared" si="63"/>
        <v>-20.783588308200706</v>
      </c>
      <c r="J107" s="1">
        <f t="shared" si="63"/>
        <v>0</v>
      </c>
      <c r="K107" s="1">
        <f t="shared" si="63"/>
        <v>33.90219936997164</v>
      </c>
      <c r="L107" s="1">
        <f t="shared" si="63"/>
        <v>54.685787677997723</v>
      </c>
      <c r="M107" s="1">
        <f t="shared" si="63"/>
        <v>-20.783588308200706</v>
      </c>
      <c r="N107" s="1">
        <f t="shared" si="63"/>
        <v>0.23980487500011805</v>
      </c>
      <c r="O107" s="1">
        <f t="shared" si="63"/>
        <v>34.142004244960845</v>
      </c>
    </row>
    <row r="108" spans="1:15" x14ac:dyDescent="0.25">
      <c r="A108" s="1" t="s">
        <v>49</v>
      </c>
      <c r="B108" t="s">
        <v>36</v>
      </c>
      <c r="C108" t="s">
        <v>10</v>
      </c>
      <c r="D108" s="1">
        <f t="shared" ref="D108:O108" si="64">D18-D12</f>
        <v>0</v>
      </c>
      <c r="E108" s="1">
        <f t="shared" si="64"/>
        <v>0</v>
      </c>
      <c r="F108" s="1">
        <f t="shared" si="64"/>
        <v>1.9328397606986982</v>
      </c>
      <c r="G108" s="1">
        <f t="shared" si="64"/>
        <v>1.9328397606986982</v>
      </c>
      <c r="H108" s="1">
        <f t="shared" si="64"/>
        <v>449.90768077998655</v>
      </c>
      <c r="I108" s="1">
        <f t="shared" si="64"/>
        <v>-61.315920559602091</v>
      </c>
      <c r="J108" s="1">
        <f t="shared" si="64"/>
        <v>0</v>
      </c>
      <c r="K108" s="1">
        <f t="shared" si="64"/>
        <v>388.59176022000611</v>
      </c>
      <c r="L108" s="1">
        <f t="shared" si="64"/>
        <v>449.90768077998655</v>
      </c>
      <c r="M108" s="1">
        <f t="shared" si="64"/>
        <v>-61.315920559602091</v>
      </c>
      <c r="N108" s="1">
        <f t="shared" si="64"/>
        <v>1.9328397606986982</v>
      </c>
      <c r="O108" s="1">
        <f t="shared" si="64"/>
        <v>390.52459998009726</v>
      </c>
    </row>
    <row r="109" spans="1:15" x14ac:dyDescent="0.25">
      <c r="A109" s="1" t="s">
        <v>49</v>
      </c>
      <c r="B109" t="s">
        <v>36</v>
      </c>
      <c r="C109" t="s">
        <v>11</v>
      </c>
      <c r="D109" s="1">
        <f t="shared" ref="D109:O109" si="65">D19-D13</f>
        <v>0</v>
      </c>
      <c r="E109" s="1">
        <f t="shared" si="65"/>
        <v>0</v>
      </c>
      <c r="F109" s="1">
        <f t="shared" si="65"/>
        <v>32.084459841596981</v>
      </c>
      <c r="G109" s="1">
        <f t="shared" si="65"/>
        <v>32.084459841596981</v>
      </c>
      <c r="H109" s="1">
        <f t="shared" si="65"/>
        <v>923.77917468198575</v>
      </c>
      <c r="I109" s="1">
        <f t="shared" si="65"/>
        <v>-84.250715499099897</v>
      </c>
      <c r="J109" s="1">
        <f t="shared" si="65"/>
        <v>0</v>
      </c>
      <c r="K109" s="1">
        <f t="shared" si="65"/>
        <v>839.52845918299863</v>
      </c>
      <c r="L109" s="1">
        <f t="shared" si="65"/>
        <v>923.77917468198575</v>
      </c>
      <c r="M109" s="1">
        <f t="shared" si="65"/>
        <v>-84.250715499099897</v>
      </c>
      <c r="N109" s="1">
        <f t="shared" si="65"/>
        <v>32.084459841596981</v>
      </c>
      <c r="O109" s="1">
        <f t="shared" si="65"/>
        <v>871.6129190250067</v>
      </c>
    </row>
    <row r="110" spans="1:15" x14ac:dyDescent="0.25">
      <c r="A110" s="1" t="s">
        <v>49</v>
      </c>
      <c r="B110" t="s">
        <v>37</v>
      </c>
      <c r="C110" t="s">
        <v>6</v>
      </c>
      <c r="D110" s="1">
        <f t="shared" ref="D110:O110" si="66">D20-D8</f>
        <v>-1204.8119821930304</v>
      </c>
      <c r="E110" s="1">
        <f t="shared" si="66"/>
        <v>127.85926531600126</v>
      </c>
      <c r="F110" s="1">
        <f t="shared" si="66"/>
        <v>0</v>
      </c>
      <c r="G110" s="1">
        <f t="shared" si="66"/>
        <v>-1076.9527168779168</v>
      </c>
      <c r="H110" s="1">
        <f t="shared" si="66"/>
        <v>0</v>
      </c>
      <c r="I110" s="1">
        <f t="shared" si="66"/>
        <v>0</v>
      </c>
      <c r="J110" s="1">
        <f t="shared" si="66"/>
        <v>-22.802929698696971</v>
      </c>
      <c r="K110" s="1">
        <f t="shared" si="66"/>
        <v>-22.802929698696971</v>
      </c>
      <c r="L110" s="1">
        <f t="shared" si="66"/>
        <v>-1204.8119821930304</v>
      </c>
      <c r="M110" s="1">
        <f t="shared" si="66"/>
        <v>127.85926531600126</v>
      </c>
      <c r="N110" s="1">
        <f t="shared" si="66"/>
        <v>-22.802929698696971</v>
      </c>
      <c r="O110" s="1">
        <f t="shared" si="66"/>
        <v>-1099.7556465769885</v>
      </c>
    </row>
    <row r="111" spans="1:15" x14ac:dyDescent="0.25">
      <c r="A111" s="1" t="s">
        <v>49</v>
      </c>
      <c r="B111" t="s">
        <v>37</v>
      </c>
      <c r="C111" t="s">
        <v>7</v>
      </c>
      <c r="D111" s="1">
        <f t="shared" ref="D111:O111" si="67">D21-D9</f>
        <v>-939.90292441099882</v>
      </c>
      <c r="E111" s="1">
        <f t="shared" si="67"/>
        <v>12.463563695011544</v>
      </c>
      <c r="F111" s="1">
        <f t="shared" si="67"/>
        <v>0</v>
      </c>
      <c r="G111" s="1">
        <f t="shared" si="67"/>
        <v>-927.43936071603093</v>
      </c>
      <c r="H111" s="1">
        <f t="shared" si="67"/>
        <v>0</v>
      </c>
      <c r="I111" s="1">
        <f t="shared" si="67"/>
        <v>0</v>
      </c>
      <c r="J111" s="1">
        <f t="shared" si="67"/>
        <v>-105.74803223500203</v>
      </c>
      <c r="K111" s="1">
        <f t="shared" si="67"/>
        <v>-105.74803223500203</v>
      </c>
      <c r="L111" s="1">
        <f t="shared" si="67"/>
        <v>-939.90292441099882</v>
      </c>
      <c r="M111" s="1">
        <f t="shared" si="67"/>
        <v>12.463563695011544</v>
      </c>
      <c r="N111" s="1">
        <f t="shared" si="67"/>
        <v>-105.74803223500203</v>
      </c>
      <c r="O111" s="1">
        <f t="shared" si="67"/>
        <v>-1033.1873929509893</v>
      </c>
    </row>
    <row r="112" spans="1:15" x14ac:dyDescent="0.25">
      <c r="A112" s="1" t="s">
        <v>49</v>
      </c>
      <c r="B112" t="s">
        <v>37</v>
      </c>
      <c r="C112" t="s">
        <v>8</v>
      </c>
      <c r="D112" s="1">
        <f t="shared" ref="D112:O112" si="68">D22-D10</f>
        <v>-189.77144500694703</v>
      </c>
      <c r="E112" s="1">
        <f t="shared" si="68"/>
        <v>-96.548171267000725</v>
      </c>
      <c r="F112" s="1">
        <f t="shared" si="68"/>
        <v>0</v>
      </c>
      <c r="G112" s="1">
        <f t="shared" si="68"/>
        <v>-286.31961627292912</v>
      </c>
      <c r="H112" s="1">
        <f t="shared" si="68"/>
        <v>0</v>
      </c>
      <c r="I112" s="1">
        <f t="shared" si="68"/>
        <v>0</v>
      </c>
      <c r="J112" s="1">
        <f t="shared" si="68"/>
        <v>52.495648302952759</v>
      </c>
      <c r="K112" s="1">
        <f t="shared" si="68"/>
        <v>52.495648302952759</v>
      </c>
      <c r="L112" s="1">
        <f t="shared" si="68"/>
        <v>-189.77144500694703</v>
      </c>
      <c r="M112" s="1">
        <f t="shared" si="68"/>
        <v>-96.548171267000725</v>
      </c>
      <c r="N112" s="1">
        <f t="shared" si="68"/>
        <v>52.495648302952759</v>
      </c>
      <c r="O112" s="1">
        <f t="shared" si="68"/>
        <v>-233.82396796997637</v>
      </c>
    </row>
    <row r="113" spans="1:15" x14ac:dyDescent="0.25">
      <c r="A113" s="1" t="s">
        <v>49</v>
      </c>
      <c r="B113" t="s">
        <v>37</v>
      </c>
      <c r="C113" t="s">
        <v>9</v>
      </c>
      <c r="D113" s="1">
        <f t="shared" ref="D113:O113" si="69">D23-D11</f>
        <v>0</v>
      </c>
      <c r="E113" s="1">
        <f t="shared" si="69"/>
        <v>0</v>
      </c>
      <c r="F113" s="1">
        <f t="shared" si="69"/>
        <v>-11.319555616199068</v>
      </c>
      <c r="G113" s="1">
        <f t="shared" si="69"/>
        <v>-11.319555616199068</v>
      </c>
      <c r="H113" s="1">
        <f t="shared" si="69"/>
        <v>-932.86397873098031</v>
      </c>
      <c r="I113" s="1">
        <f t="shared" si="69"/>
        <v>28.396318421204342</v>
      </c>
      <c r="J113" s="1">
        <f t="shared" si="69"/>
        <v>0</v>
      </c>
      <c r="K113" s="1">
        <f t="shared" si="69"/>
        <v>-904.4676603100379</v>
      </c>
      <c r="L113" s="1">
        <f t="shared" si="69"/>
        <v>-932.86397873098031</v>
      </c>
      <c r="M113" s="1">
        <f t="shared" si="69"/>
        <v>28.396318421204342</v>
      </c>
      <c r="N113" s="1">
        <f t="shared" si="69"/>
        <v>-11.319555616199068</v>
      </c>
      <c r="O113" s="1">
        <f t="shared" si="69"/>
        <v>-915.78721592604415</v>
      </c>
    </row>
    <row r="114" spans="1:15" x14ac:dyDescent="0.25">
      <c r="A114" s="1" t="s">
        <v>49</v>
      </c>
      <c r="B114" t="s">
        <v>37</v>
      </c>
      <c r="C114" t="s">
        <v>10</v>
      </c>
      <c r="D114" s="1">
        <f t="shared" ref="D114:O114" si="70">D24-D12</f>
        <v>0</v>
      </c>
      <c r="E114" s="1">
        <f t="shared" si="70"/>
        <v>0</v>
      </c>
      <c r="F114" s="1">
        <f t="shared" si="70"/>
        <v>-14.753921635099687</v>
      </c>
      <c r="G114" s="1">
        <f t="shared" si="70"/>
        <v>-14.753921635099687</v>
      </c>
      <c r="H114" s="1">
        <f t="shared" si="70"/>
        <v>-548.30595997604541</v>
      </c>
      <c r="I114" s="1">
        <f t="shared" si="70"/>
        <v>-36.969581929202832</v>
      </c>
      <c r="J114" s="1">
        <f t="shared" si="70"/>
        <v>0</v>
      </c>
      <c r="K114" s="1">
        <f t="shared" si="70"/>
        <v>-585.27554190496448</v>
      </c>
      <c r="L114" s="1">
        <f t="shared" si="70"/>
        <v>-548.30595997604541</v>
      </c>
      <c r="M114" s="1">
        <f t="shared" si="70"/>
        <v>-36.969581929202832</v>
      </c>
      <c r="N114" s="1">
        <f t="shared" si="70"/>
        <v>-14.753921635099687</v>
      </c>
      <c r="O114" s="1">
        <f t="shared" si="70"/>
        <v>-600.02946354099549</v>
      </c>
    </row>
    <row r="115" spans="1:15" x14ac:dyDescent="0.25">
      <c r="A115" s="1" t="s">
        <v>49</v>
      </c>
      <c r="B115" t="s">
        <v>37</v>
      </c>
      <c r="C115" t="s">
        <v>11</v>
      </c>
      <c r="D115" s="1">
        <f t="shared" ref="D115:O115" si="71">D25-D13</f>
        <v>0</v>
      </c>
      <c r="E115" s="1">
        <f t="shared" si="71"/>
        <v>0</v>
      </c>
      <c r="F115" s="1">
        <f t="shared" si="71"/>
        <v>-12.628952112099796</v>
      </c>
      <c r="G115" s="1">
        <f t="shared" si="71"/>
        <v>-12.628952112099796</v>
      </c>
      <c r="H115" s="1">
        <f t="shared" si="71"/>
        <v>12.867809681978542</v>
      </c>
      <c r="I115" s="1">
        <f t="shared" si="71"/>
        <v>-76.331325230898074</v>
      </c>
      <c r="J115" s="1">
        <f t="shared" si="71"/>
        <v>0</v>
      </c>
      <c r="K115" s="1">
        <f t="shared" si="71"/>
        <v>-63.463515548035502</v>
      </c>
      <c r="L115" s="1">
        <f t="shared" si="71"/>
        <v>12.867809681978542</v>
      </c>
      <c r="M115" s="1">
        <f t="shared" si="71"/>
        <v>-76.331325230898074</v>
      </c>
      <c r="N115" s="1">
        <f t="shared" si="71"/>
        <v>-12.628952112099796</v>
      </c>
      <c r="O115" s="1">
        <f t="shared" si="71"/>
        <v>-76.092467659967951</v>
      </c>
    </row>
    <row r="116" spans="1:15" x14ac:dyDescent="0.25">
      <c r="A116" s="1" t="s">
        <v>49</v>
      </c>
      <c r="B116" t="s">
        <v>38</v>
      </c>
      <c r="C116" t="s">
        <v>6</v>
      </c>
      <c r="D116" s="1">
        <f t="shared" ref="D116:O116" si="72">D26-D8</f>
        <v>-777.3864852990373</v>
      </c>
      <c r="E116" s="1">
        <f t="shared" si="72"/>
        <v>-249.2215793869982</v>
      </c>
      <c r="F116" s="1">
        <f t="shared" si="72"/>
        <v>0</v>
      </c>
      <c r="G116" s="1">
        <f t="shared" si="72"/>
        <v>-1026.6080646879273</v>
      </c>
      <c r="H116" s="1">
        <f t="shared" si="72"/>
        <v>0</v>
      </c>
      <c r="I116" s="1">
        <f t="shared" si="72"/>
        <v>0</v>
      </c>
      <c r="J116" s="1">
        <f t="shared" si="72"/>
        <v>-29.512837409198255</v>
      </c>
      <c r="K116" s="1">
        <f t="shared" si="72"/>
        <v>-29.512837409198255</v>
      </c>
      <c r="L116" s="1">
        <f t="shared" si="72"/>
        <v>-777.3864852990373</v>
      </c>
      <c r="M116" s="1">
        <f t="shared" si="72"/>
        <v>-249.2215793869982</v>
      </c>
      <c r="N116" s="1">
        <f t="shared" si="72"/>
        <v>-29.512837409198255</v>
      </c>
      <c r="O116" s="1">
        <f t="shared" si="72"/>
        <v>-1056.1209020969691</v>
      </c>
    </row>
    <row r="117" spans="1:15" x14ac:dyDescent="0.25">
      <c r="A117" s="1" t="s">
        <v>49</v>
      </c>
      <c r="B117" t="s">
        <v>38</v>
      </c>
      <c r="C117" t="s">
        <v>7</v>
      </c>
      <c r="D117" s="1">
        <f t="shared" ref="D117:O117" si="73">D27-D9</f>
        <v>-210.54261224297807</v>
      </c>
      <c r="E117" s="1">
        <f t="shared" si="73"/>
        <v>-608.51672649999091</v>
      </c>
      <c r="F117" s="1">
        <f t="shared" si="73"/>
        <v>0</v>
      </c>
      <c r="G117" s="1">
        <f t="shared" si="73"/>
        <v>-819.05933874298353</v>
      </c>
      <c r="H117" s="1">
        <f t="shared" si="73"/>
        <v>0</v>
      </c>
      <c r="I117" s="1">
        <f t="shared" si="73"/>
        <v>0</v>
      </c>
      <c r="J117" s="1">
        <f t="shared" si="73"/>
        <v>-108.60802480801067</v>
      </c>
      <c r="K117" s="1">
        <f t="shared" si="73"/>
        <v>-108.60802480801067</v>
      </c>
      <c r="L117" s="1">
        <f t="shared" si="73"/>
        <v>-210.54261224297807</v>
      </c>
      <c r="M117" s="1">
        <f t="shared" si="73"/>
        <v>-608.51672649999091</v>
      </c>
      <c r="N117" s="1">
        <f t="shared" si="73"/>
        <v>-108.60802480801067</v>
      </c>
      <c r="O117" s="1">
        <f t="shared" si="73"/>
        <v>-927.66736355191097</v>
      </c>
    </row>
    <row r="118" spans="1:15" x14ac:dyDescent="0.25">
      <c r="A118" s="1" t="s">
        <v>49</v>
      </c>
      <c r="B118" t="s">
        <v>38</v>
      </c>
      <c r="C118" t="s">
        <v>8</v>
      </c>
      <c r="D118" s="1">
        <f t="shared" ref="D118:O118" si="74">D28-D10</f>
        <v>-451.08320615498815</v>
      </c>
      <c r="E118" s="1">
        <f t="shared" si="74"/>
        <v>-544.66047581800376</v>
      </c>
      <c r="F118" s="1">
        <f t="shared" si="74"/>
        <v>0</v>
      </c>
      <c r="G118" s="1">
        <f t="shared" si="74"/>
        <v>-995.74368197098374</v>
      </c>
      <c r="H118" s="1">
        <f t="shared" si="74"/>
        <v>0</v>
      </c>
      <c r="I118" s="1">
        <f t="shared" si="74"/>
        <v>0</v>
      </c>
      <c r="J118" s="1">
        <f t="shared" si="74"/>
        <v>-153.05496433400549</v>
      </c>
      <c r="K118" s="1">
        <f t="shared" si="74"/>
        <v>-153.05496433400549</v>
      </c>
      <c r="L118" s="1">
        <f t="shared" si="74"/>
        <v>-451.08320615498815</v>
      </c>
      <c r="M118" s="1">
        <f t="shared" si="74"/>
        <v>-544.66047581800376</v>
      </c>
      <c r="N118" s="1">
        <f t="shared" si="74"/>
        <v>-153.05496433400549</v>
      </c>
      <c r="O118" s="1">
        <f t="shared" si="74"/>
        <v>-1148.7986463101115</v>
      </c>
    </row>
    <row r="119" spans="1:15" x14ac:dyDescent="0.25">
      <c r="A119" s="1" t="s">
        <v>49</v>
      </c>
      <c r="B119" t="s">
        <v>38</v>
      </c>
      <c r="C119" t="s">
        <v>9</v>
      </c>
      <c r="D119" s="1">
        <f t="shared" ref="D119:O119" si="75">D29-D11</f>
        <v>0</v>
      </c>
      <c r="E119" s="1">
        <f t="shared" si="75"/>
        <v>0</v>
      </c>
      <c r="F119" s="1">
        <f t="shared" si="75"/>
        <v>-5.0028302106984484</v>
      </c>
      <c r="G119" s="1">
        <f t="shared" si="75"/>
        <v>-5.0028302106984484</v>
      </c>
      <c r="H119" s="1">
        <f t="shared" si="75"/>
        <v>-808.31242502696114</v>
      </c>
      <c r="I119" s="1">
        <f t="shared" si="75"/>
        <v>-225.23716250689904</v>
      </c>
      <c r="J119" s="1">
        <f t="shared" si="75"/>
        <v>0</v>
      </c>
      <c r="K119" s="1">
        <f t="shared" si="75"/>
        <v>-1033.5495875350316</v>
      </c>
      <c r="L119" s="1">
        <f t="shared" si="75"/>
        <v>-808.31242502696114</v>
      </c>
      <c r="M119" s="1">
        <f t="shared" si="75"/>
        <v>-225.23716250689904</v>
      </c>
      <c r="N119" s="1">
        <f t="shared" si="75"/>
        <v>-5.0028302106984484</v>
      </c>
      <c r="O119" s="1">
        <f t="shared" si="75"/>
        <v>-1038.5524177449988</v>
      </c>
    </row>
    <row r="120" spans="1:15" x14ac:dyDescent="0.25">
      <c r="A120" s="1" t="s">
        <v>49</v>
      </c>
      <c r="B120" t="s">
        <v>38</v>
      </c>
      <c r="C120" t="s">
        <v>10</v>
      </c>
      <c r="D120" s="1">
        <f t="shared" ref="D120:O120" si="76">D30-D12</f>
        <v>0</v>
      </c>
      <c r="E120" s="1">
        <f t="shared" si="76"/>
        <v>0</v>
      </c>
      <c r="F120" s="1">
        <f t="shared" si="76"/>
        <v>0.32944918019893521</v>
      </c>
      <c r="G120" s="1">
        <f t="shared" si="76"/>
        <v>0.32944918019893521</v>
      </c>
      <c r="H120" s="1">
        <f t="shared" si="76"/>
        <v>-682.67878972104518</v>
      </c>
      <c r="I120" s="1">
        <f t="shared" si="76"/>
        <v>-86.026392551000754</v>
      </c>
      <c r="J120" s="1">
        <f t="shared" si="76"/>
        <v>0</v>
      </c>
      <c r="K120" s="1">
        <f t="shared" si="76"/>
        <v>-768.70518227096181</v>
      </c>
      <c r="L120" s="1">
        <f t="shared" si="76"/>
        <v>-682.67878972104518</v>
      </c>
      <c r="M120" s="1">
        <f t="shared" si="76"/>
        <v>-86.026392551000754</v>
      </c>
      <c r="N120" s="1">
        <f t="shared" si="76"/>
        <v>0.32944918019893521</v>
      </c>
      <c r="O120" s="1">
        <f t="shared" si="76"/>
        <v>-768.37573309196159</v>
      </c>
    </row>
    <row r="121" spans="1:15" x14ac:dyDescent="0.25">
      <c r="A121" s="1" t="s">
        <v>49</v>
      </c>
      <c r="B121" t="s">
        <v>38</v>
      </c>
      <c r="C121" t="s">
        <v>11</v>
      </c>
      <c r="D121" s="1">
        <f t="shared" ref="D121:O121" si="77">D31-D13</f>
        <v>0</v>
      </c>
      <c r="E121" s="1">
        <f t="shared" si="77"/>
        <v>0</v>
      </c>
      <c r="F121" s="1">
        <f t="shared" si="77"/>
        <v>7.5070097889001772</v>
      </c>
      <c r="G121" s="1">
        <f t="shared" si="77"/>
        <v>7.5070097889001772</v>
      </c>
      <c r="H121" s="1">
        <f t="shared" si="77"/>
        <v>-307.81209915701766</v>
      </c>
      <c r="I121" s="1">
        <f t="shared" si="77"/>
        <v>-36.579698226800247</v>
      </c>
      <c r="J121" s="1">
        <f t="shared" si="77"/>
        <v>0</v>
      </c>
      <c r="K121" s="1">
        <f t="shared" si="77"/>
        <v>-344.39179738401435</v>
      </c>
      <c r="L121" s="1">
        <f t="shared" si="77"/>
        <v>-307.81209915701766</v>
      </c>
      <c r="M121" s="1">
        <f t="shared" si="77"/>
        <v>-36.579698226800247</v>
      </c>
      <c r="N121" s="1">
        <f t="shared" si="77"/>
        <v>7.5070097889001772</v>
      </c>
      <c r="O121" s="1">
        <f t="shared" si="77"/>
        <v>-336.88478759396821</v>
      </c>
    </row>
    <row r="122" spans="1:15" x14ac:dyDescent="0.25">
      <c r="A122" s="1" t="s">
        <v>49</v>
      </c>
      <c r="B122" t="s">
        <v>39</v>
      </c>
      <c r="C122" t="s">
        <v>6</v>
      </c>
      <c r="D122" s="1">
        <f t="shared" ref="D122:O122" si="78">D32-D8</f>
        <v>-899.97338763804873</v>
      </c>
      <c r="E122" s="1">
        <f t="shared" si="78"/>
        <v>-211.22034262798843</v>
      </c>
      <c r="F122" s="1">
        <f t="shared" si="78"/>
        <v>0</v>
      </c>
      <c r="G122" s="1">
        <f t="shared" si="78"/>
        <v>-1111.1937302669976</v>
      </c>
      <c r="H122" s="1">
        <f t="shared" si="78"/>
        <v>0</v>
      </c>
      <c r="I122" s="1">
        <f t="shared" si="78"/>
        <v>0</v>
      </c>
      <c r="J122" s="1">
        <f t="shared" si="78"/>
        <v>-43.871000606599409</v>
      </c>
      <c r="K122" s="1">
        <f t="shared" si="78"/>
        <v>-43.871000606599409</v>
      </c>
      <c r="L122" s="1">
        <f t="shared" si="78"/>
        <v>-899.97338763804873</v>
      </c>
      <c r="M122" s="1">
        <f t="shared" si="78"/>
        <v>-211.22034262798843</v>
      </c>
      <c r="N122" s="1">
        <f t="shared" si="78"/>
        <v>-43.871000606599409</v>
      </c>
      <c r="O122" s="1">
        <f t="shared" si="78"/>
        <v>-1155.0647308729822</v>
      </c>
    </row>
    <row r="123" spans="1:15" x14ac:dyDescent="0.25">
      <c r="A123" s="1" t="s">
        <v>49</v>
      </c>
      <c r="B123" t="s">
        <v>39</v>
      </c>
      <c r="C123" t="s">
        <v>7</v>
      </c>
      <c r="D123" s="1">
        <f t="shared" ref="D123:O123" si="79">D33-D9</f>
        <v>-505.12900877895299</v>
      </c>
      <c r="E123" s="1">
        <f t="shared" si="79"/>
        <v>-531.84375279999222</v>
      </c>
      <c r="F123" s="1">
        <f t="shared" si="79"/>
        <v>0</v>
      </c>
      <c r="G123" s="1">
        <f t="shared" si="79"/>
        <v>-1036.9727615789743</v>
      </c>
      <c r="H123" s="1">
        <f t="shared" si="79"/>
        <v>0</v>
      </c>
      <c r="I123" s="1">
        <f t="shared" si="79"/>
        <v>0</v>
      </c>
      <c r="J123" s="1">
        <f t="shared" si="79"/>
        <v>-131.2764856970025</v>
      </c>
      <c r="K123" s="1">
        <f t="shared" si="79"/>
        <v>-131.2764856970025</v>
      </c>
      <c r="L123" s="1">
        <f t="shared" si="79"/>
        <v>-505.12900877895299</v>
      </c>
      <c r="M123" s="1">
        <f t="shared" si="79"/>
        <v>-531.84375279999222</v>
      </c>
      <c r="N123" s="1">
        <f t="shared" si="79"/>
        <v>-131.2764856970025</v>
      </c>
      <c r="O123" s="1">
        <f t="shared" si="79"/>
        <v>-1168.2492472759914</v>
      </c>
    </row>
    <row r="124" spans="1:15" x14ac:dyDescent="0.25">
      <c r="A124" s="1" t="s">
        <v>49</v>
      </c>
      <c r="B124" t="s">
        <v>39</v>
      </c>
      <c r="C124" t="s">
        <v>8</v>
      </c>
      <c r="D124" s="1">
        <f t="shared" ref="D124:O124" si="80">D34-D10</f>
        <v>-1434.5715247429907</v>
      </c>
      <c r="E124" s="1">
        <f t="shared" si="80"/>
        <v>-478.40159487200435</v>
      </c>
      <c r="F124" s="1">
        <f t="shared" si="80"/>
        <v>0</v>
      </c>
      <c r="G124" s="1">
        <f t="shared" si="80"/>
        <v>-1912.9731196139473</v>
      </c>
      <c r="H124" s="1">
        <f t="shared" si="80"/>
        <v>0</v>
      </c>
      <c r="I124" s="1">
        <f t="shared" si="80"/>
        <v>0</v>
      </c>
      <c r="J124" s="1">
        <f t="shared" si="80"/>
        <v>-638.22050555603346</v>
      </c>
      <c r="K124" s="1">
        <f t="shared" si="80"/>
        <v>-638.22050555603346</v>
      </c>
      <c r="L124" s="1">
        <f t="shared" si="80"/>
        <v>-1434.5715247429907</v>
      </c>
      <c r="M124" s="1">
        <f t="shared" si="80"/>
        <v>-478.40159487200435</v>
      </c>
      <c r="N124" s="1">
        <f t="shared" si="80"/>
        <v>-638.22050555603346</v>
      </c>
      <c r="O124" s="1">
        <f t="shared" si="80"/>
        <v>-2551.193625170039</v>
      </c>
    </row>
    <row r="125" spans="1:15" x14ac:dyDescent="0.25">
      <c r="A125" s="1" t="s">
        <v>49</v>
      </c>
      <c r="B125" t="s">
        <v>39</v>
      </c>
      <c r="C125" t="s">
        <v>9</v>
      </c>
      <c r="D125" s="1">
        <f t="shared" ref="D125:O125" si="81">D35-D11</f>
        <v>0</v>
      </c>
      <c r="E125" s="1">
        <f t="shared" si="81"/>
        <v>0</v>
      </c>
      <c r="F125" s="1">
        <f t="shared" si="81"/>
        <v>-5.4871022124989395</v>
      </c>
      <c r="G125" s="1">
        <f t="shared" si="81"/>
        <v>-5.4871022124989395</v>
      </c>
      <c r="H125" s="1">
        <f t="shared" si="81"/>
        <v>-848.57727754599182</v>
      </c>
      <c r="I125" s="1">
        <f t="shared" si="81"/>
        <v>-213.28700481620035</v>
      </c>
      <c r="J125" s="1">
        <f t="shared" si="81"/>
        <v>0</v>
      </c>
      <c r="K125" s="1">
        <f t="shared" si="81"/>
        <v>-1061.8642823620467</v>
      </c>
      <c r="L125" s="1">
        <f t="shared" si="81"/>
        <v>-848.57727754599182</v>
      </c>
      <c r="M125" s="1">
        <f t="shared" si="81"/>
        <v>-213.28700481620035</v>
      </c>
      <c r="N125" s="1">
        <f t="shared" si="81"/>
        <v>-5.4871022124989395</v>
      </c>
      <c r="O125" s="1">
        <f t="shared" si="81"/>
        <v>-1067.3513845740235</v>
      </c>
    </row>
    <row r="126" spans="1:15" x14ac:dyDescent="0.25">
      <c r="A126" s="1" t="s">
        <v>49</v>
      </c>
      <c r="B126" t="s">
        <v>39</v>
      </c>
      <c r="C126" t="s">
        <v>10</v>
      </c>
      <c r="D126" s="1">
        <f t="shared" ref="D126:O126" si="82">D36-D12</f>
        <v>0</v>
      </c>
      <c r="E126" s="1">
        <f t="shared" si="82"/>
        <v>0</v>
      </c>
      <c r="F126" s="1">
        <f t="shared" si="82"/>
        <v>-2.8641190244998143</v>
      </c>
      <c r="G126" s="1">
        <f t="shared" si="82"/>
        <v>-2.8641190244998143</v>
      </c>
      <c r="H126" s="1">
        <f t="shared" si="82"/>
        <v>-1087.7241821869975</v>
      </c>
      <c r="I126" s="1">
        <f t="shared" si="82"/>
        <v>-43.57653381019918</v>
      </c>
      <c r="J126" s="1">
        <f t="shared" si="82"/>
        <v>0</v>
      </c>
      <c r="K126" s="1">
        <f t="shared" si="82"/>
        <v>-1131.3007159970002</v>
      </c>
      <c r="L126" s="1">
        <f t="shared" si="82"/>
        <v>-1087.7241821869975</v>
      </c>
      <c r="M126" s="1">
        <f t="shared" si="82"/>
        <v>-43.57653381019918</v>
      </c>
      <c r="N126" s="1">
        <f t="shared" si="82"/>
        <v>-2.8641190244998143</v>
      </c>
      <c r="O126" s="1">
        <f t="shared" si="82"/>
        <v>-1134.1648350219475</v>
      </c>
    </row>
    <row r="127" spans="1:15" x14ac:dyDescent="0.25">
      <c r="A127" s="1" t="s">
        <v>49</v>
      </c>
      <c r="B127" t="s">
        <v>39</v>
      </c>
      <c r="C127" t="s">
        <v>11</v>
      </c>
      <c r="D127" s="1">
        <f t="shared" ref="D127:O127" si="83">D37-D13</f>
        <v>0</v>
      </c>
      <c r="E127" s="1">
        <f t="shared" si="83"/>
        <v>0</v>
      </c>
      <c r="F127" s="1">
        <f t="shared" si="83"/>
        <v>-29.957664558300166</v>
      </c>
      <c r="G127" s="1">
        <f t="shared" si="83"/>
        <v>-29.957664558300166</v>
      </c>
      <c r="H127" s="1">
        <f t="shared" si="83"/>
        <v>-1165.7075464670197</v>
      </c>
      <c r="I127" s="1">
        <f t="shared" si="83"/>
        <v>26.765357119402324</v>
      </c>
      <c r="J127" s="1">
        <f t="shared" si="83"/>
        <v>0</v>
      </c>
      <c r="K127" s="1">
        <f t="shared" si="83"/>
        <v>-1138.9421893479885</v>
      </c>
      <c r="L127" s="1">
        <f t="shared" si="83"/>
        <v>-1165.7075464670197</v>
      </c>
      <c r="M127" s="1">
        <f t="shared" si="83"/>
        <v>26.765357119402324</v>
      </c>
      <c r="N127" s="1">
        <f t="shared" si="83"/>
        <v>-29.957664558300166</v>
      </c>
      <c r="O127" s="1">
        <f t="shared" si="83"/>
        <v>-1168.8998539060121</v>
      </c>
    </row>
    <row r="128" spans="1:15" x14ac:dyDescent="0.25">
      <c r="A128" s="1" t="s">
        <v>49</v>
      </c>
      <c r="B128" t="s">
        <v>59</v>
      </c>
      <c r="C128" t="s">
        <v>6</v>
      </c>
      <c r="D128" s="1">
        <f>D38-D8</f>
        <v>-929.97833047999302</v>
      </c>
      <c r="E128" s="1">
        <f t="shared" ref="E128:O128" si="84">E38-E8</f>
        <v>-231.23501524099265</v>
      </c>
      <c r="F128" s="1">
        <f t="shared" si="84"/>
        <v>0</v>
      </c>
      <c r="G128" s="1">
        <f t="shared" si="84"/>
        <v>-1161.2133457229938</v>
      </c>
      <c r="H128" s="1">
        <f t="shared" si="84"/>
        <v>0</v>
      </c>
      <c r="I128" s="1">
        <f t="shared" si="84"/>
        <v>0</v>
      </c>
      <c r="J128" s="1">
        <f t="shared" si="84"/>
        <v>-61.816117201196903</v>
      </c>
      <c r="K128" s="1">
        <f t="shared" si="84"/>
        <v>-61.816117201196903</v>
      </c>
      <c r="L128" s="1">
        <f t="shared" si="84"/>
        <v>-929.97833047999302</v>
      </c>
      <c r="M128" s="1">
        <f t="shared" si="84"/>
        <v>-231.23501524099265</v>
      </c>
      <c r="N128" s="1">
        <f t="shared" si="84"/>
        <v>-61.816117201196903</v>
      </c>
      <c r="O128" s="1">
        <f t="shared" si="84"/>
        <v>-1223.0294629239943</v>
      </c>
    </row>
    <row r="129" spans="1:15" x14ac:dyDescent="0.25">
      <c r="A129" s="1" t="s">
        <v>49</v>
      </c>
      <c r="B129" t="s">
        <v>59</v>
      </c>
      <c r="C129" t="s">
        <v>7</v>
      </c>
      <c r="D129" s="1">
        <f t="shared" ref="D129:O133" si="85">D39-D9</f>
        <v>-580.00459237897303</v>
      </c>
      <c r="E129" s="1">
        <f t="shared" si="85"/>
        <v>-585.62933021898789</v>
      </c>
      <c r="F129" s="1">
        <f t="shared" si="85"/>
        <v>0</v>
      </c>
      <c r="G129" s="1">
        <f t="shared" si="85"/>
        <v>-1165.6339225979755</v>
      </c>
      <c r="H129" s="1">
        <f t="shared" si="85"/>
        <v>0</v>
      </c>
      <c r="I129" s="1">
        <f t="shared" si="85"/>
        <v>0</v>
      </c>
      <c r="J129" s="1">
        <f t="shared" si="85"/>
        <v>-154.70151392600383</v>
      </c>
      <c r="K129" s="1">
        <f t="shared" si="85"/>
        <v>-154.70151392600383</v>
      </c>
      <c r="L129" s="1">
        <f t="shared" si="85"/>
        <v>-580.00459237897303</v>
      </c>
      <c r="M129" s="1">
        <f t="shared" si="85"/>
        <v>-585.62933021898789</v>
      </c>
      <c r="N129" s="1">
        <f t="shared" si="85"/>
        <v>-154.70151392600383</v>
      </c>
      <c r="O129" s="1">
        <f t="shared" si="85"/>
        <v>-1320.335436523892</v>
      </c>
    </row>
    <row r="130" spans="1:15" x14ac:dyDescent="0.25">
      <c r="A130" s="1" t="s">
        <v>49</v>
      </c>
      <c r="B130" t="s">
        <v>59</v>
      </c>
      <c r="C130" t="s">
        <v>8</v>
      </c>
      <c r="D130" s="1">
        <f t="shared" si="85"/>
        <v>-1710.4567914439831</v>
      </c>
      <c r="E130" s="1">
        <f t="shared" si="85"/>
        <v>-729.79084986599628</v>
      </c>
      <c r="F130" s="1">
        <f t="shared" si="85"/>
        <v>0</v>
      </c>
      <c r="G130" s="1">
        <f t="shared" si="85"/>
        <v>-2440.2476413099794</v>
      </c>
      <c r="H130" s="1">
        <f t="shared" si="85"/>
        <v>0</v>
      </c>
      <c r="I130" s="1">
        <f t="shared" si="85"/>
        <v>0</v>
      </c>
      <c r="J130" s="1">
        <f t="shared" si="85"/>
        <v>-1235.6595178010175</v>
      </c>
      <c r="K130" s="1">
        <f t="shared" si="85"/>
        <v>-1235.6595178010175</v>
      </c>
      <c r="L130" s="1">
        <f t="shared" si="85"/>
        <v>-1710.4567914439831</v>
      </c>
      <c r="M130" s="1">
        <f t="shared" si="85"/>
        <v>-729.79084986599628</v>
      </c>
      <c r="N130" s="1">
        <f t="shared" si="85"/>
        <v>-1235.6595178010175</v>
      </c>
      <c r="O130" s="1">
        <f t="shared" si="85"/>
        <v>-3675.9071591100655</v>
      </c>
    </row>
    <row r="131" spans="1:15" x14ac:dyDescent="0.25">
      <c r="A131" s="1" t="s">
        <v>49</v>
      </c>
      <c r="B131" t="s">
        <v>59</v>
      </c>
      <c r="C131" t="s">
        <v>9</v>
      </c>
      <c r="D131" s="1">
        <f t="shared" si="85"/>
        <v>0</v>
      </c>
      <c r="E131" s="1">
        <f t="shared" si="85"/>
        <v>0</v>
      </c>
      <c r="F131" s="1">
        <f t="shared" si="85"/>
        <v>-5.6038707684983819</v>
      </c>
      <c r="G131" s="1">
        <f t="shared" si="85"/>
        <v>-5.6038707684983819</v>
      </c>
      <c r="H131" s="1">
        <f t="shared" si="85"/>
        <v>-882.68498244095827</v>
      </c>
      <c r="I131" s="1">
        <f t="shared" si="85"/>
        <v>-206.73348382909899</v>
      </c>
      <c r="J131" s="1">
        <f t="shared" si="85"/>
        <v>0</v>
      </c>
      <c r="K131" s="1">
        <f t="shared" si="85"/>
        <v>-1089.4184662710177</v>
      </c>
      <c r="L131" s="1">
        <f t="shared" si="85"/>
        <v>-882.68498244095827</v>
      </c>
      <c r="M131" s="1">
        <f t="shared" si="85"/>
        <v>-206.73348382909899</v>
      </c>
      <c r="N131" s="1">
        <f t="shared" si="85"/>
        <v>-5.6038707684983819</v>
      </c>
      <c r="O131" s="1">
        <f t="shared" si="85"/>
        <v>-1095.0223370390013</v>
      </c>
    </row>
    <row r="132" spans="1:15" x14ac:dyDescent="0.25">
      <c r="A132" s="1" t="s">
        <v>49</v>
      </c>
      <c r="B132" t="s">
        <v>59</v>
      </c>
      <c r="C132" t="s">
        <v>10</v>
      </c>
      <c r="D132" s="1">
        <f t="shared" si="85"/>
        <v>0</v>
      </c>
      <c r="E132" s="1">
        <f t="shared" si="85"/>
        <v>0</v>
      </c>
      <c r="F132" s="1">
        <f t="shared" si="85"/>
        <v>-3.6277386500005377</v>
      </c>
      <c r="G132" s="1">
        <f t="shared" si="85"/>
        <v>-3.6277386500005377</v>
      </c>
      <c r="H132" s="1">
        <f t="shared" si="85"/>
        <v>-1571.8883897320484</v>
      </c>
      <c r="I132" s="1">
        <f t="shared" si="85"/>
        <v>13.422376025999256</v>
      </c>
      <c r="J132" s="1">
        <f t="shared" si="85"/>
        <v>0</v>
      </c>
      <c r="K132" s="1">
        <f t="shared" si="85"/>
        <v>-1558.4660137060564</v>
      </c>
      <c r="L132" s="1">
        <f t="shared" si="85"/>
        <v>-1571.8883897320484</v>
      </c>
      <c r="M132" s="1">
        <f t="shared" si="85"/>
        <v>13.422376025999256</v>
      </c>
      <c r="N132" s="1">
        <f t="shared" si="85"/>
        <v>-3.6277386500005377</v>
      </c>
      <c r="O132" s="1">
        <f t="shared" si="85"/>
        <v>-1562.0937523569446</v>
      </c>
    </row>
    <row r="133" spans="1:15" x14ac:dyDescent="0.25">
      <c r="A133" s="1" t="s">
        <v>49</v>
      </c>
      <c r="B133" t="s">
        <v>59</v>
      </c>
      <c r="C133" t="s">
        <v>11</v>
      </c>
      <c r="D133" s="1">
        <f t="shared" si="85"/>
        <v>0</v>
      </c>
      <c r="E133" s="1">
        <f t="shared" si="85"/>
        <v>0</v>
      </c>
      <c r="F133" s="1">
        <f t="shared" si="85"/>
        <v>-40.49547922470083</v>
      </c>
      <c r="G133" s="1">
        <f t="shared" si="85"/>
        <v>-40.49547922470083</v>
      </c>
      <c r="H133" s="1">
        <f t="shared" si="85"/>
        <v>-2195.4073473719764</v>
      </c>
      <c r="I133" s="1">
        <f t="shared" si="85"/>
        <v>131.95366161560014</v>
      </c>
      <c r="J133" s="1">
        <f t="shared" si="85"/>
        <v>0</v>
      </c>
      <c r="K133" s="1">
        <f t="shared" si="85"/>
        <v>-2063.4536857560161</v>
      </c>
      <c r="L133" s="1">
        <f t="shared" si="85"/>
        <v>-2195.4073473719764</v>
      </c>
      <c r="M133" s="1">
        <f t="shared" si="85"/>
        <v>131.95366161560014</v>
      </c>
      <c r="N133" s="1">
        <f t="shared" si="85"/>
        <v>-40.49547922470083</v>
      </c>
      <c r="O133" s="1">
        <f t="shared" si="85"/>
        <v>-2103.9491649799747</v>
      </c>
    </row>
    <row r="134" spans="1:15" x14ac:dyDescent="0.25">
      <c r="A134" s="1" t="s">
        <v>50</v>
      </c>
      <c r="B134" t="s">
        <v>36</v>
      </c>
      <c r="C134" t="s">
        <v>6</v>
      </c>
      <c r="D134" s="9">
        <f t="shared" ref="D134:O134" si="86">IF(D8 = 0, 0, D104/D8)</f>
        <v>1.6148503912335083E-4</v>
      </c>
      <c r="E134" s="9">
        <f t="shared" si="86"/>
        <v>-7.5299153868431124E-5</v>
      </c>
      <c r="F134" s="9">
        <f t="shared" si="86"/>
        <v>0</v>
      </c>
      <c r="G134" s="9">
        <f t="shared" si="86"/>
        <v>1.1532711754957157E-4</v>
      </c>
      <c r="H134" s="9">
        <f t="shared" si="86"/>
        <v>0</v>
      </c>
      <c r="I134" s="9">
        <f t="shared" si="86"/>
        <v>0</v>
      </c>
      <c r="J134" s="9">
        <f t="shared" si="86"/>
        <v>5.5996248587282266E-4</v>
      </c>
      <c r="K134" s="9">
        <f t="shared" si="86"/>
        <v>5.5996248587282266E-4</v>
      </c>
      <c r="L134" s="9">
        <f t="shared" si="86"/>
        <v>1.6148503912335083E-4</v>
      </c>
      <c r="M134" s="9">
        <f t="shared" si="86"/>
        <v>-7.5299153868431124E-5</v>
      </c>
      <c r="N134" s="9">
        <f t="shared" si="86"/>
        <v>5.5996248587282266E-4</v>
      </c>
      <c r="O134" s="9">
        <f t="shared" si="86"/>
        <v>1.3572238925092903E-4</v>
      </c>
    </row>
    <row r="135" spans="1:15" x14ac:dyDescent="0.25">
      <c r="A135" s="1" t="s">
        <v>50</v>
      </c>
      <c r="B135" t="s">
        <v>36</v>
      </c>
      <c r="C135" t="s">
        <v>7</v>
      </c>
      <c r="D135" s="9">
        <f t="shared" ref="D135:O135" si="87">IF(D9 = 0, 0, D105/D9)</f>
        <v>3.9501579067668344E-4</v>
      </c>
      <c r="E135" s="9">
        <f t="shared" si="87"/>
        <v>-1.2957601137792752E-4</v>
      </c>
      <c r="F135" s="9">
        <f t="shared" si="87"/>
        <v>0</v>
      </c>
      <c r="G135" s="9">
        <f t="shared" si="87"/>
        <v>2.9390167608720435E-4</v>
      </c>
      <c r="H135" s="9">
        <f t="shared" si="87"/>
        <v>0</v>
      </c>
      <c r="I135" s="9">
        <f t="shared" si="87"/>
        <v>0</v>
      </c>
      <c r="J135" s="9">
        <f t="shared" si="87"/>
        <v>2.4966038579668102E-4</v>
      </c>
      <c r="K135" s="9">
        <f t="shared" si="87"/>
        <v>2.4966038579668102E-4</v>
      </c>
      <c r="L135" s="9">
        <f t="shared" si="87"/>
        <v>3.9501579067668344E-4</v>
      </c>
      <c r="M135" s="9">
        <f t="shared" si="87"/>
        <v>-1.2957601137792752E-4</v>
      </c>
      <c r="N135" s="9">
        <f t="shared" si="87"/>
        <v>2.4966038579668102E-4</v>
      </c>
      <c r="O135" s="9">
        <f t="shared" si="87"/>
        <v>2.873463168101441E-4</v>
      </c>
    </row>
    <row r="136" spans="1:15" x14ac:dyDescent="0.25">
      <c r="A136" s="1" t="s">
        <v>50</v>
      </c>
      <c r="B136" t="s">
        <v>36</v>
      </c>
      <c r="C136" t="s">
        <v>8</v>
      </c>
      <c r="D136" s="9">
        <f t="shared" ref="D136:O136" si="88">IF(D10 = 0, 0, D106/D10)</f>
        <v>1.490830928400582E-3</v>
      </c>
      <c r="E136" s="9">
        <f t="shared" si="88"/>
        <v>7.1173351628027372E-5</v>
      </c>
      <c r="F136" s="9">
        <f t="shared" si="88"/>
        <v>0</v>
      </c>
      <c r="G136" s="9">
        <f t="shared" si="88"/>
        <v>1.2147219809492079E-3</v>
      </c>
      <c r="H136" s="9">
        <f t="shared" si="88"/>
        <v>0</v>
      </c>
      <c r="I136" s="9">
        <f t="shared" si="88"/>
        <v>0</v>
      </c>
      <c r="J136" s="9">
        <f t="shared" si="88"/>
        <v>1.8263609853924074E-3</v>
      </c>
      <c r="K136" s="9">
        <f t="shared" si="88"/>
        <v>1.8263609853924074E-3</v>
      </c>
      <c r="L136" s="9">
        <f t="shared" si="88"/>
        <v>1.490830928400582E-3</v>
      </c>
      <c r="M136" s="9">
        <f t="shared" si="88"/>
        <v>7.1173351628027372E-5</v>
      </c>
      <c r="N136" s="9">
        <f t="shared" si="88"/>
        <v>1.8263609853924074E-3</v>
      </c>
      <c r="O136" s="9">
        <f t="shared" si="88"/>
        <v>1.382442786395032E-3</v>
      </c>
    </row>
    <row r="137" spans="1:15" x14ac:dyDescent="0.25">
      <c r="A137" s="1" t="s">
        <v>50</v>
      </c>
      <c r="B137" t="s">
        <v>36</v>
      </c>
      <c r="C137" t="s">
        <v>9</v>
      </c>
      <c r="D137" s="9">
        <f t="shared" ref="D137:O137" si="89">IF(D11 = 0, 0, D107/D11)</f>
        <v>0</v>
      </c>
      <c r="E137" s="9">
        <f t="shared" si="89"/>
        <v>0</v>
      </c>
      <c r="F137" s="9">
        <f t="shared" si="89"/>
        <v>2.1251406688950139E-5</v>
      </c>
      <c r="G137" s="9">
        <f t="shared" si="89"/>
        <v>2.1251406688950139E-5</v>
      </c>
      <c r="H137" s="9">
        <f t="shared" si="89"/>
        <v>1.2152118581992446E-4</v>
      </c>
      <c r="I137" s="9">
        <f t="shared" si="89"/>
        <v>-4.84016853568862E-4</v>
      </c>
      <c r="J137" s="9">
        <f t="shared" si="89"/>
        <v>0</v>
      </c>
      <c r="K137" s="9">
        <f t="shared" si="89"/>
        <v>6.877409663824423E-5</v>
      </c>
      <c r="L137" s="9">
        <f t="shared" si="89"/>
        <v>1.2152118581992446E-4</v>
      </c>
      <c r="M137" s="9">
        <f t="shared" si="89"/>
        <v>-4.84016853568862E-4</v>
      </c>
      <c r="N137" s="9">
        <f t="shared" si="89"/>
        <v>2.1251406688950139E-5</v>
      </c>
      <c r="O137" s="9">
        <f t="shared" si="89"/>
        <v>6.7710593082577882E-5</v>
      </c>
    </row>
    <row r="138" spans="1:15" x14ac:dyDescent="0.25">
      <c r="A138" s="1" t="s">
        <v>50</v>
      </c>
      <c r="B138" t="s">
        <v>36</v>
      </c>
      <c r="C138" t="s">
        <v>10</v>
      </c>
      <c r="D138" s="9">
        <f t="shared" ref="D138:O138" si="90">IF(D12 = 0, 0, D108/D12)</f>
        <v>0</v>
      </c>
      <c r="E138" s="9">
        <f t="shared" si="90"/>
        <v>0</v>
      </c>
      <c r="F138" s="9">
        <f t="shared" si="90"/>
        <v>1.4443610258219622E-4</v>
      </c>
      <c r="G138" s="9">
        <f t="shared" si="90"/>
        <v>1.4443610258219622E-4</v>
      </c>
      <c r="H138" s="9">
        <f t="shared" si="90"/>
        <v>8.9769801528074688E-4</v>
      </c>
      <c r="I138" s="9">
        <f t="shared" si="90"/>
        <v>-1.7021077183141458E-3</v>
      </c>
      <c r="J138" s="9">
        <f t="shared" si="90"/>
        <v>0</v>
      </c>
      <c r="K138" s="9">
        <f t="shared" si="90"/>
        <v>7.2336132178455826E-4</v>
      </c>
      <c r="L138" s="9">
        <f t="shared" si="90"/>
        <v>8.9769801528074688E-4</v>
      </c>
      <c r="M138" s="9">
        <f t="shared" si="90"/>
        <v>-1.7021077183141458E-3</v>
      </c>
      <c r="N138" s="9">
        <f t="shared" si="90"/>
        <v>1.4443610258219622E-4</v>
      </c>
      <c r="O138" s="9">
        <f t="shared" si="90"/>
        <v>7.0929053675308383E-4</v>
      </c>
    </row>
    <row r="139" spans="1:15" x14ac:dyDescent="0.25">
      <c r="A139" s="1" t="s">
        <v>50</v>
      </c>
      <c r="B139" t="s">
        <v>36</v>
      </c>
      <c r="C139" t="s">
        <v>11</v>
      </c>
      <c r="D139" s="9">
        <f t="shared" ref="D139:O139" si="91">IF(D13 = 0, 0, D109/D13)</f>
        <v>0</v>
      </c>
      <c r="E139" s="9">
        <f t="shared" si="91"/>
        <v>0</v>
      </c>
      <c r="F139" s="9">
        <f t="shared" si="91"/>
        <v>1.0324531548616116E-3</v>
      </c>
      <c r="G139" s="9">
        <f t="shared" si="91"/>
        <v>1.0324531548616116E-3</v>
      </c>
      <c r="H139" s="9">
        <f t="shared" si="91"/>
        <v>1.8886093305052875E-3</v>
      </c>
      <c r="I139" s="9">
        <f t="shared" si="91"/>
        <v>-3.2963206535566898E-3</v>
      </c>
      <c r="J139" s="9">
        <f t="shared" si="91"/>
        <v>0</v>
      </c>
      <c r="K139" s="9">
        <f t="shared" si="91"/>
        <v>1.6311311143565107E-3</v>
      </c>
      <c r="L139" s="9">
        <f t="shared" si="91"/>
        <v>1.8886093305052875E-3</v>
      </c>
      <c r="M139" s="9">
        <f t="shared" si="91"/>
        <v>-3.2963206535566898E-3</v>
      </c>
      <c r="N139" s="9">
        <f t="shared" si="91"/>
        <v>1.0324531548616116E-3</v>
      </c>
      <c r="O139" s="9">
        <f t="shared" si="91"/>
        <v>1.5970424144794951E-3</v>
      </c>
    </row>
    <row r="140" spans="1:15" x14ac:dyDescent="0.25">
      <c r="A140" s="1" t="s">
        <v>50</v>
      </c>
      <c r="B140" t="s">
        <v>37</v>
      </c>
      <c r="C140" t="s">
        <v>6</v>
      </c>
      <c r="D140" s="9">
        <f t="shared" ref="D140:O140" si="92">IF(D8 = 0, 0, D110/D8)</f>
        <v>-2.3416584650244677E-3</v>
      </c>
      <c r="E140" s="9">
        <f t="shared" si="92"/>
        <v>1.0262968306135206E-3</v>
      </c>
      <c r="F140" s="9">
        <f t="shared" si="92"/>
        <v>0</v>
      </c>
      <c r="G140" s="9">
        <f t="shared" si="92"/>
        <v>-1.6851204823541404E-3</v>
      </c>
      <c r="H140" s="9">
        <f t="shared" si="92"/>
        <v>0</v>
      </c>
      <c r="I140" s="9">
        <f t="shared" si="92"/>
        <v>0</v>
      </c>
      <c r="J140" s="9">
        <f t="shared" si="92"/>
        <v>-7.4217648015560635E-4</v>
      </c>
      <c r="K140" s="9">
        <f t="shared" si="92"/>
        <v>-7.4217648015560635E-4</v>
      </c>
      <c r="L140" s="9">
        <f t="shared" si="92"/>
        <v>-2.3416584650244677E-3</v>
      </c>
      <c r="M140" s="9">
        <f t="shared" si="92"/>
        <v>1.0262968306135206E-3</v>
      </c>
      <c r="N140" s="9">
        <f t="shared" si="92"/>
        <v>-7.4217648015560635E-4</v>
      </c>
      <c r="O140" s="9">
        <f t="shared" si="92"/>
        <v>-1.641867964687989E-3</v>
      </c>
    </row>
    <row r="141" spans="1:15" x14ac:dyDescent="0.25">
      <c r="A141" s="1" t="s">
        <v>50</v>
      </c>
      <c r="B141" t="s">
        <v>37</v>
      </c>
      <c r="C141" t="s">
        <v>7</v>
      </c>
      <c r="D141" s="9">
        <f t="shared" ref="D141:O141" si="93">IF(D9 = 0, 0, D111/D9)</f>
        <v>-1.7458677057063357E-3</v>
      </c>
      <c r="E141" s="9">
        <f t="shared" si="93"/>
        <v>9.6959265699628265E-5</v>
      </c>
      <c r="F141" s="9">
        <f t="shared" si="93"/>
        <v>0</v>
      </c>
      <c r="G141" s="9">
        <f t="shared" si="93"/>
        <v>-1.3906661626620388E-3</v>
      </c>
      <c r="H141" s="9">
        <f t="shared" si="93"/>
        <v>0</v>
      </c>
      <c r="I141" s="9">
        <f t="shared" si="93"/>
        <v>0</v>
      </c>
      <c r="J141" s="9">
        <f t="shared" si="93"/>
        <v>-9.1157500558849264E-4</v>
      </c>
      <c r="K141" s="9">
        <f t="shared" si="93"/>
        <v>-9.1157500558849264E-4</v>
      </c>
      <c r="L141" s="9">
        <f t="shared" si="93"/>
        <v>-1.7458677057063357E-3</v>
      </c>
      <c r="M141" s="9">
        <f t="shared" si="93"/>
        <v>9.6959265699628265E-5</v>
      </c>
      <c r="N141" s="9">
        <f t="shared" si="93"/>
        <v>-9.1157500558849264E-4</v>
      </c>
      <c r="O141" s="9">
        <f t="shared" si="93"/>
        <v>-1.3196778474373423E-3</v>
      </c>
    </row>
    <row r="142" spans="1:15" x14ac:dyDescent="0.25">
      <c r="A142" s="1" t="s">
        <v>50</v>
      </c>
      <c r="B142" t="s">
        <v>37</v>
      </c>
      <c r="C142" t="s">
        <v>8</v>
      </c>
      <c r="D142" s="9">
        <f t="shared" ref="D142:O142" si="94">IF(D10 = 0, 0, D112/D10)</f>
        <v>-3.0723939873803825E-4</v>
      </c>
      <c r="E142" s="9">
        <f t="shared" si="94"/>
        <v>-6.4738741326011149E-4</v>
      </c>
      <c r="F142" s="9">
        <f t="shared" si="94"/>
        <v>0</v>
      </c>
      <c r="G142" s="9">
        <f t="shared" si="94"/>
        <v>-3.7339472506640843E-4</v>
      </c>
      <c r="H142" s="9">
        <f t="shared" si="94"/>
        <v>0</v>
      </c>
      <c r="I142" s="9">
        <f t="shared" si="94"/>
        <v>0</v>
      </c>
      <c r="J142" s="9">
        <f t="shared" si="94"/>
        <v>1.8119924719272533E-4</v>
      </c>
      <c r="K142" s="9">
        <f t="shared" si="94"/>
        <v>1.8119924719272533E-4</v>
      </c>
      <c r="L142" s="9">
        <f t="shared" si="94"/>
        <v>-3.0723939873803825E-4</v>
      </c>
      <c r="M142" s="9">
        <f t="shared" si="94"/>
        <v>-6.4738741326011149E-4</v>
      </c>
      <c r="N142" s="9">
        <f t="shared" si="94"/>
        <v>1.8119924719272533E-4</v>
      </c>
      <c r="O142" s="9">
        <f t="shared" si="94"/>
        <v>-2.2131654325151047E-4</v>
      </c>
    </row>
    <row r="143" spans="1:15" x14ac:dyDescent="0.25">
      <c r="A143" s="1" t="s">
        <v>50</v>
      </c>
      <c r="B143" t="s">
        <v>37</v>
      </c>
      <c r="C143" t="s">
        <v>9</v>
      </c>
      <c r="D143" s="9">
        <f t="shared" ref="D143:O143" si="95">IF(D11 = 0, 0, D113/D11)</f>
        <v>0</v>
      </c>
      <c r="E143" s="9">
        <f t="shared" si="95"/>
        <v>0</v>
      </c>
      <c r="F143" s="9">
        <f t="shared" si="95"/>
        <v>-1.0031342354400324E-3</v>
      </c>
      <c r="G143" s="9">
        <f t="shared" si="95"/>
        <v>-1.0031342354400324E-3</v>
      </c>
      <c r="H143" s="9">
        <f t="shared" si="95"/>
        <v>-2.072983524925835E-3</v>
      </c>
      <c r="I143" s="9">
        <f t="shared" si="95"/>
        <v>6.6130528046245366E-4</v>
      </c>
      <c r="J143" s="9">
        <f t="shared" si="95"/>
        <v>0</v>
      </c>
      <c r="K143" s="9">
        <f t="shared" si="95"/>
        <v>-1.8348056300862121E-3</v>
      </c>
      <c r="L143" s="9">
        <f t="shared" si="95"/>
        <v>-2.072983524925835E-3</v>
      </c>
      <c r="M143" s="9">
        <f t="shared" si="95"/>
        <v>6.6130528046245366E-4</v>
      </c>
      <c r="N143" s="9">
        <f t="shared" si="95"/>
        <v>-1.0031342354400324E-3</v>
      </c>
      <c r="O143" s="9">
        <f t="shared" si="95"/>
        <v>-1.8161937735962687E-3</v>
      </c>
    </row>
    <row r="144" spans="1:15" x14ac:dyDescent="0.25">
      <c r="A144" s="1" t="s">
        <v>50</v>
      </c>
      <c r="B144" t="s">
        <v>37</v>
      </c>
      <c r="C144" t="s">
        <v>10</v>
      </c>
      <c r="D144" s="9">
        <f t="shared" ref="D144:O144" si="96">IF(D12 = 0, 0, D114/D12)</f>
        <v>0</v>
      </c>
      <c r="E144" s="9">
        <f t="shared" si="96"/>
        <v>0</v>
      </c>
      <c r="F144" s="9">
        <f t="shared" si="96"/>
        <v>-1.1025223001448461E-3</v>
      </c>
      <c r="G144" s="9">
        <f t="shared" si="96"/>
        <v>-1.1025223001448461E-3</v>
      </c>
      <c r="H144" s="9">
        <f t="shared" si="96"/>
        <v>-1.0940314937139342E-3</v>
      </c>
      <c r="I144" s="9">
        <f t="shared" si="96"/>
        <v>-1.026262187214101E-3</v>
      </c>
      <c r="J144" s="9">
        <f t="shared" si="96"/>
        <v>0</v>
      </c>
      <c r="K144" s="9">
        <f t="shared" si="96"/>
        <v>-1.0894870476946164E-3</v>
      </c>
      <c r="L144" s="9">
        <f t="shared" si="96"/>
        <v>-1.0940314937139342E-3</v>
      </c>
      <c r="M144" s="9">
        <f t="shared" si="96"/>
        <v>-1.026262187214101E-3</v>
      </c>
      <c r="N144" s="9">
        <f t="shared" si="96"/>
        <v>-1.1025223001448461E-3</v>
      </c>
      <c r="O144" s="9">
        <f t="shared" si="96"/>
        <v>-1.0898038696777303E-3</v>
      </c>
    </row>
    <row r="145" spans="1:15" x14ac:dyDescent="0.25">
      <c r="A145" s="1" t="s">
        <v>50</v>
      </c>
      <c r="B145" t="s">
        <v>37</v>
      </c>
      <c r="C145" t="s">
        <v>11</v>
      </c>
      <c r="D145" s="9">
        <f t="shared" ref="D145:O145" si="97">IF(D13 = 0, 0, D115/D13)</f>
        <v>0</v>
      </c>
      <c r="E145" s="9">
        <f t="shared" si="97"/>
        <v>0</v>
      </c>
      <c r="F145" s="9">
        <f t="shared" si="97"/>
        <v>-4.0638993192053223E-4</v>
      </c>
      <c r="G145" s="9">
        <f t="shared" si="97"/>
        <v>-4.0638993192053223E-4</v>
      </c>
      <c r="H145" s="9">
        <f t="shared" si="97"/>
        <v>2.6307440235289013E-5</v>
      </c>
      <c r="I145" s="9">
        <f t="shared" si="97"/>
        <v>-2.9864734368297481E-3</v>
      </c>
      <c r="J145" s="9">
        <f t="shared" si="97"/>
        <v>0</v>
      </c>
      <c r="K145" s="9">
        <f t="shared" si="97"/>
        <v>-1.2330411638169898E-4</v>
      </c>
      <c r="L145" s="9">
        <f t="shared" si="97"/>
        <v>2.6307440235289013E-5</v>
      </c>
      <c r="M145" s="9">
        <f t="shared" si="97"/>
        <v>-2.9864734368297481E-3</v>
      </c>
      <c r="N145" s="9">
        <f t="shared" si="97"/>
        <v>-4.0638993192053223E-4</v>
      </c>
      <c r="O145" s="9">
        <f t="shared" si="97"/>
        <v>-1.394230117783415E-4</v>
      </c>
    </row>
    <row r="146" spans="1:15" x14ac:dyDescent="0.25">
      <c r="A146" s="1" t="s">
        <v>50</v>
      </c>
      <c r="B146" t="s">
        <v>38</v>
      </c>
      <c r="C146" t="s">
        <v>6</v>
      </c>
      <c r="D146" s="9">
        <f t="shared" ref="D146:O146" si="98">IF(D8 = 0, 0, D116/D8)</f>
        <v>-1.51091927271724E-3</v>
      </c>
      <c r="E146" s="9">
        <f t="shared" si="98"/>
        <v>-2.0004441321732087E-3</v>
      </c>
      <c r="F146" s="9">
        <f t="shared" si="98"/>
        <v>0</v>
      </c>
      <c r="G146" s="9">
        <f t="shared" si="98"/>
        <v>-1.6063456176337203E-3</v>
      </c>
      <c r="H146" s="9">
        <f t="shared" si="98"/>
        <v>0</v>
      </c>
      <c r="I146" s="9">
        <f t="shared" si="98"/>
        <v>0</v>
      </c>
      <c r="J146" s="9">
        <f t="shared" si="98"/>
        <v>-9.6056664986407915E-4</v>
      </c>
      <c r="K146" s="9">
        <f t="shared" si="98"/>
        <v>-9.6056664986407915E-4</v>
      </c>
      <c r="L146" s="9">
        <f t="shared" si="98"/>
        <v>-1.51091927271724E-3</v>
      </c>
      <c r="M146" s="9">
        <f t="shared" si="98"/>
        <v>-2.0004441321732087E-3</v>
      </c>
      <c r="N146" s="9">
        <f t="shared" si="98"/>
        <v>-9.6056664986407915E-4</v>
      </c>
      <c r="O146" s="9">
        <f t="shared" si="98"/>
        <v>-1.5767239580788128E-3</v>
      </c>
    </row>
    <row r="147" spans="1:15" x14ac:dyDescent="0.25">
      <c r="A147" s="1" t="s">
        <v>50</v>
      </c>
      <c r="B147" t="s">
        <v>38</v>
      </c>
      <c r="C147" t="s">
        <v>7</v>
      </c>
      <c r="D147" s="9">
        <f t="shared" ref="D147:O147" si="99">IF(D9 = 0, 0, D117/D9)</f>
        <v>-3.910824595214605E-4</v>
      </c>
      <c r="E147" s="9">
        <f t="shared" si="99"/>
        <v>-4.7339056798815513E-3</v>
      </c>
      <c r="F147" s="9">
        <f t="shared" si="99"/>
        <v>0</v>
      </c>
      <c r="G147" s="9">
        <f t="shared" si="99"/>
        <v>-1.2281537271858032E-3</v>
      </c>
      <c r="H147" s="9">
        <f t="shared" si="99"/>
        <v>0</v>
      </c>
      <c r="I147" s="9">
        <f t="shared" si="99"/>
        <v>0</v>
      </c>
      <c r="J147" s="9">
        <f t="shared" si="99"/>
        <v>-9.3622887091933578E-4</v>
      </c>
      <c r="K147" s="9">
        <f t="shared" si="99"/>
        <v>-9.3622887091933578E-4</v>
      </c>
      <c r="L147" s="9">
        <f t="shared" si="99"/>
        <v>-3.910824595214605E-4</v>
      </c>
      <c r="M147" s="9">
        <f t="shared" si="99"/>
        <v>-4.7339056798815513E-3</v>
      </c>
      <c r="N147" s="9">
        <f t="shared" si="99"/>
        <v>-9.3622887091933578E-4</v>
      </c>
      <c r="O147" s="9">
        <f t="shared" si="99"/>
        <v>-1.1848983812834165E-3</v>
      </c>
    </row>
    <row r="148" spans="1:15" x14ac:dyDescent="0.25">
      <c r="A148" s="1" t="s">
        <v>50</v>
      </c>
      <c r="B148" t="s">
        <v>38</v>
      </c>
      <c r="C148" t="s">
        <v>8</v>
      </c>
      <c r="D148" s="9">
        <f t="shared" ref="D148:O148" si="100">IF(D10 = 0, 0, D118/D10)</f>
        <v>-7.3030235415455513E-4</v>
      </c>
      <c r="E148" s="9">
        <f t="shared" si="100"/>
        <v>-3.6521285894656461E-3</v>
      </c>
      <c r="F148" s="9">
        <f t="shared" si="100"/>
        <v>0</v>
      </c>
      <c r="G148" s="9">
        <f t="shared" si="100"/>
        <v>-1.298567814549429E-3</v>
      </c>
      <c r="H148" s="9">
        <f t="shared" si="100"/>
        <v>0</v>
      </c>
      <c r="I148" s="9">
        <f t="shared" si="100"/>
        <v>0</v>
      </c>
      <c r="J148" s="9">
        <f t="shared" si="100"/>
        <v>-5.2829987271290214E-4</v>
      </c>
      <c r="K148" s="9">
        <f t="shared" si="100"/>
        <v>-5.2829987271290214E-4</v>
      </c>
      <c r="L148" s="9">
        <f t="shared" si="100"/>
        <v>-7.3030235415455513E-4</v>
      </c>
      <c r="M148" s="9">
        <f t="shared" si="100"/>
        <v>-3.6521285894656461E-3</v>
      </c>
      <c r="N148" s="9">
        <f t="shared" si="100"/>
        <v>-5.2829987271290214E-4</v>
      </c>
      <c r="O148" s="9">
        <f t="shared" si="100"/>
        <v>-1.0873485190620604E-3</v>
      </c>
    </row>
    <row r="149" spans="1:15" x14ac:dyDescent="0.25">
      <c r="A149" s="1" t="s">
        <v>50</v>
      </c>
      <c r="B149" t="s">
        <v>38</v>
      </c>
      <c r="C149" t="s">
        <v>9</v>
      </c>
      <c r="D149" s="9">
        <f t="shared" ref="D149:O149" si="101">IF(D11 = 0, 0, D119/D11)</f>
        <v>0</v>
      </c>
      <c r="E149" s="9">
        <f t="shared" si="101"/>
        <v>0</v>
      </c>
      <c r="F149" s="9">
        <f t="shared" si="101"/>
        <v>-4.4334869924252579E-4</v>
      </c>
      <c r="G149" s="9">
        <f t="shared" si="101"/>
        <v>-4.4334869924252579E-4</v>
      </c>
      <c r="H149" s="9">
        <f t="shared" si="101"/>
        <v>-1.7962086416426582E-3</v>
      </c>
      <c r="I149" s="9">
        <f t="shared" si="101"/>
        <v>-5.2454167724421104E-3</v>
      </c>
      <c r="J149" s="9">
        <f t="shared" si="101"/>
        <v>0</v>
      </c>
      <c r="K149" s="9">
        <f t="shared" si="101"/>
        <v>-2.096661589351369E-3</v>
      </c>
      <c r="L149" s="9">
        <f t="shared" si="101"/>
        <v>-1.7962086416426582E-3</v>
      </c>
      <c r="M149" s="9">
        <f t="shared" si="101"/>
        <v>-5.2454167724421104E-3</v>
      </c>
      <c r="N149" s="9">
        <f t="shared" si="101"/>
        <v>-4.4334869924252579E-4</v>
      </c>
      <c r="O149" s="9">
        <f t="shared" si="101"/>
        <v>-2.0596623340657576E-3</v>
      </c>
    </row>
    <row r="150" spans="1:15" x14ac:dyDescent="0.25">
      <c r="A150" s="1" t="s">
        <v>50</v>
      </c>
      <c r="B150" t="s">
        <v>38</v>
      </c>
      <c r="C150" t="s">
        <v>10</v>
      </c>
      <c r="D150" s="9">
        <f t="shared" ref="D150:O150" si="102">IF(D12 = 0, 0, D120/D12)</f>
        <v>0</v>
      </c>
      <c r="E150" s="9">
        <f t="shared" si="102"/>
        <v>0</v>
      </c>
      <c r="F150" s="9">
        <f t="shared" si="102"/>
        <v>2.4618882824323052E-5</v>
      </c>
      <c r="G150" s="9">
        <f t="shared" si="102"/>
        <v>2.4618882824323052E-5</v>
      </c>
      <c r="H150" s="9">
        <f t="shared" si="102"/>
        <v>-1.3621447705546835E-3</v>
      </c>
      <c r="I150" s="9">
        <f t="shared" si="102"/>
        <v>-2.3880614594613721E-3</v>
      </c>
      <c r="J150" s="9">
        <f t="shared" si="102"/>
        <v>0</v>
      </c>
      <c r="K150" s="9">
        <f t="shared" si="102"/>
        <v>-1.430940265937052E-3</v>
      </c>
      <c r="L150" s="9">
        <f t="shared" si="102"/>
        <v>-1.3621447705546835E-3</v>
      </c>
      <c r="M150" s="9">
        <f t="shared" si="102"/>
        <v>-2.3880614594613721E-3</v>
      </c>
      <c r="N150" s="9">
        <f t="shared" si="102"/>
        <v>2.4618882824323052E-5</v>
      </c>
      <c r="O150" s="9">
        <f t="shared" si="102"/>
        <v>-1.3955628817765059E-3</v>
      </c>
    </row>
    <row r="151" spans="1:15" x14ac:dyDescent="0.25">
      <c r="A151" s="1" t="s">
        <v>50</v>
      </c>
      <c r="B151" t="s">
        <v>38</v>
      </c>
      <c r="C151" t="s">
        <v>11</v>
      </c>
      <c r="D151" s="9">
        <f t="shared" ref="D151:O151" si="103">IF(D13 = 0, 0, D121/D13)</f>
        <v>0</v>
      </c>
      <c r="E151" s="9">
        <f t="shared" si="103"/>
        <v>0</v>
      </c>
      <c r="F151" s="9">
        <f t="shared" si="103"/>
        <v>2.415697810838135E-4</v>
      </c>
      <c r="G151" s="9">
        <f t="shared" si="103"/>
        <v>2.415697810838135E-4</v>
      </c>
      <c r="H151" s="9">
        <f t="shared" si="103"/>
        <v>-6.2930277975847371E-4</v>
      </c>
      <c r="I151" s="9">
        <f t="shared" si="103"/>
        <v>-1.4311856469297391E-3</v>
      </c>
      <c r="J151" s="9">
        <f t="shared" si="103"/>
        <v>0</v>
      </c>
      <c r="K151" s="9">
        <f t="shared" si="103"/>
        <v>-6.691234467368787E-4</v>
      </c>
      <c r="L151" s="9">
        <f t="shared" si="103"/>
        <v>-6.2930277975847371E-4</v>
      </c>
      <c r="M151" s="9">
        <f t="shared" si="103"/>
        <v>-1.4311856469297391E-3</v>
      </c>
      <c r="N151" s="9">
        <f t="shared" si="103"/>
        <v>2.415697810838135E-4</v>
      </c>
      <c r="O151" s="9">
        <f t="shared" si="103"/>
        <v>-6.1726860953634742E-4</v>
      </c>
    </row>
    <row r="152" spans="1:15" x14ac:dyDescent="0.25">
      <c r="A152" s="1" t="s">
        <v>50</v>
      </c>
      <c r="B152" t="s">
        <v>39</v>
      </c>
      <c r="C152" t="s">
        <v>6</v>
      </c>
      <c r="D152" s="9">
        <f t="shared" ref="D152:O152" si="104">IF(D8 = 0, 0, D122/D8)</f>
        <v>-1.7491777410973152E-3</v>
      </c>
      <c r="E152" s="9">
        <f t="shared" si="104"/>
        <v>-1.6954169700917061E-3</v>
      </c>
      <c r="F152" s="9">
        <f t="shared" si="104"/>
        <v>0</v>
      </c>
      <c r="G152" s="9">
        <f t="shared" si="104"/>
        <v>-1.7386977955399737E-3</v>
      </c>
      <c r="H152" s="9">
        <f t="shared" si="104"/>
        <v>0</v>
      </c>
      <c r="I152" s="9">
        <f t="shared" si="104"/>
        <v>0</v>
      </c>
      <c r="J152" s="9">
        <f t="shared" si="104"/>
        <v>-1.4278877864089105E-3</v>
      </c>
      <c r="K152" s="9">
        <f t="shared" si="104"/>
        <v>-1.4278877864089105E-3</v>
      </c>
      <c r="L152" s="9">
        <f t="shared" si="104"/>
        <v>-1.7491777410973152E-3</v>
      </c>
      <c r="M152" s="9">
        <f t="shared" si="104"/>
        <v>-1.6954169700917061E-3</v>
      </c>
      <c r="N152" s="9">
        <f t="shared" si="104"/>
        <v>-1.4278877864089105E-3</v>
      </c>
      <c r="O152" s="9">
        <f t="shared" si="104"/>
        <v>-1.7244410471217715E-3</v>
      </c>
    </row>
    <row r="153" spans="1:15" x14ac:dyDescent="0.25">
      <c r="A153" s="1" t="s">
        <v>50</v>
      </c>
      <c r="B153" t="s">
        <v>39</v>
      </c>
      <c r="C153" t="s">
        <v>7</v>
      </c>
      <c r="D153" s="9">
        <f t="shared" ref="D153:O153" si="105">IF(D9 = 0, 0, D123/D9)</f>
        <v>-9.3827607164353902E-4</v>
      </c>
      <c r="E153" s="9">
        <f t="shared" si="105"/>
        <v>-4.1374346054059378E-3</v>
      </c>
      <c r="F153" s="9">
        <f t="shared" si="105"/>
        <v>0</v>
      </c>
      <c r="G153" s="9">
        <f t="shared" si="105"/>
        <v>-1.5549080535213937E-3</v>
      </c>
      <c r="H153" s="9">
        <f t="shared" si="105"/>
        <v>0</v>
      </c>
      <c r="I153" s="9">
        <f t="shared" si="105"/>
        <v>0</v>
      </c>
      <c r="J153" s="9">
        <f t="shared" si="105"/>
        <v>-1.1316367846632436E-3</v>
      </c>
      <c r="K153" s="9">
        <f t="shared" si="105"/>
        <v>-1.1316367846632436E-3</v>
      </c>
      <c r="L153" s="9">
        <f t="shared" si="105"/>
        <v>-9.3827607164353902E-4</v>
      </c>
      <c r="M153" s="9">
        <f t="shared" si="105"/>
        <v>-4.1374346054059378E-3</v>
      </c>
      <c r="N153" s="9">
        <f t="shared" si="105"/>
        <v>-1.1316367846632436E-3</v>
      </c>
      <c r="O153" s="9">
        <f t="shared" si="105"/>
        <v>-1.4921907317432871E-3</v>
      </c>
    </row>
    <row r="154" spans="1:15" x14ac:dyDescent="0.25">
      <c r="A154" s="1" t="s">
        <v>50</v>
      </c>
      <c r="B154" t="s">
        <v>39</v>
      </c>
      <c r="C154" t="s">
        <v>8</v>
      </c>
      <c r="D154" s="9">
        <f t="shared" ref="D154:O154" si="106">IF(D10 = 0, 0, D124/D10)</f>
        <v>-2.32256698415619E-3</v>
      </c>
      <c r="E154" s="9">
        <f t="shared" si="106"/>
        <v>-3.2078408833576236E-3</v>
      </c>
      <c r="F154" s="9">
        <f t="shared" si="106"/>
        <v>0</v>
      </c>
      <c r="G154" s="9">
        <f t="shared" si="106"/>
        <v>-2.4947437460128168E-3</v>
      </c>
      <c r="H154" s="9">
        <f t="shared" si="106"/>
        <v>0</v>
      </c>
      <c r="I154" s="9">
        <f t="shared" si="106"/>
        <v>0</v>
      </c>
      <c r="J154" s="9">
        <f t="shared" si="106"/>
        <v>-2.2029459372008378E-3</v>
      </c>
      <c r="K154" s="9">
        <f t="shared" si="106"/>
        <v>-2.2029459372008378E-3</v>
      </c>
      <c r="L154" s="9">
        <f t="shared" si="106"/>
        <v>-2.32256698415619E-3</v>
      </c>
      <c r="M154" s="9">
        <f t="shared" si="106"/>
        <v>-3.2078408833576236E-3</v>
      </c>
      <c r="N154" s="9">
        <f t="shared" si="106"/>
        <v>-2.2029459372008378E-3</v>
      </c>
      <c r="O154" s="9">
        <f t="shared" si="106"/>
        <v>-2.4147283068963301E-3</v>
      </c>
    </row>
    <row r="155" spans="1:15" x14ac:dyDescent="0.25">
      <c r="A155" s="1" t="s">
        <v>50</v>
      </c>
      <c r="B155" t="s">
        <v>39</v>
      </c>
      <c r="C155" t="s">
        <v>9</v>
      </c>
      <c r="D155" s="9">
        <f t="shared" ref="D155:O155" si="107">IF(D11 = 0, 0, D125/D11)</f>
        <v>0</v>
      </c>
      <c r="E155" s="9">
        <f t="shared" si="107"/>
        <v>0</v>
      </c>
      <c r="F155" s="9">
        <f t="shared" si="107"/>
        <v>-4.8626467940485223E-4</v>
      </c>
      <c r="G155" s="9">
        <f t="shared" si="107"/>
        <v>-4.8626467940485223E-4</v>
      </c>
      <c r="H155" s="9">
        <f t="shared" si="107"/>
        <v>-1.8856840397806216E-3</v>
      </c>
      <c r="I155" s="9">
        <f t="shared" si="107"/>
        <v>-4.9671165271075995E-3</v>
      </c>
      <c r="J155" s="9">
        <f t="shared" si="107"/>
        <v>0</v>
      </c>
      <c r="K155" s="9">
        <f t="shared" si="107"/>
        <v>-2.1541008586171955E-3</v>
      </c>
      <c r="L155" s="9">
        <f t="shared" si="107"/>
        <v>-1.8856840397806216E-3</v>
      </c>
      <c r="M155" s="9">
        <f t="shared" si="107"/>
        <v>-4.9671165271075995E-3</v>
      </c>
      <c r="N155" s="9">
        <f t="shared" si="107"/>
        <v>-4.8626467940485223E-4</v>
      </c>
      <c r="O155" s="9">
        <f t="shared" si="107"/>
        <v>-2.1167765886996679E-3</v>
      </c>
    </row>
    <row r="156" spans="1:15" x14ac:dyDescent="0.25">
      <c r="A156" s="1" t="s">
        <v>50</v>
      </c>
      <c r="B156" t="s">
        <v>39</v>
      </c>
      <c r="C156" t="s">
        <v>10</v>
      </c>
      <c r="D156" s="9">
        <f t="shared" ref="D156:O156" si="108">IF(D12 = 0, 0, D126/D12)</f>
        <v>0</v>
      </c>
      <c r="E156" s="9">
        <f t="shared" si="108"/>
        <v>0</v>
      </c>
      <c r="F156" s="9">
        <f t="shared" si="108"/>
        <v>-2.1402818673428668E-4</v>
      </c>
      <c r="G156" s="9">
        <f t="shared" si="108"/>
        <v>-2.1402818673428668E-4</v>
      </c>
      <c r="H156" s="9">
        <f t="shared" si="108"/>
        <v>-2.1703293391864605E-3</v>
      </c>
      <c r="I156" s="9">
        <f t="shared" si="108"/>
        <v>-1.2096687753977136E-3</v>
      </c>
      <c r="J156" s="9">
        <f t="shared" si="108"/>
        <v>0</v>
      </c>
      <c r="K156" s="9">
        <f t="shared" si="108"/>
        <v>-2.105909761946816E-3</v>
      </c>
      <c r="L156" s="9">
        <f t="shared" si="108"/>
        <v>-2.1703293391864605E-3</v>
      </c>
      <c r="M156" s="9">
        <f t="shared" si="108"/>
        <v>-1.2096687753977136E-3</v>
      </c>
      <c r="N156" s="9">
        <f t="shared" si="108"/>
        <v>-2.1402818673428668E-4</v>
      </c>
      <c r="O156" s="9">
        <f t="shared" si="108"/>
        <v>-2.059927555498906E-3</v>
      </c>
    </row>
    <row r="157" spans="1:15" x14ac:dyDescent="0.25">
      <c r="A157" s="1" t="s">
        <v>50</v>
      </c>
      <c r="B157" t="s">
        <v>39</v>
      </c>
      <c r="C157" t="s">
        <v>11</v>
      </c>
      <c r="D157" s="9">
        <f t="shared" ref="D157:O157" si="109">IF(D13 = 0, 0, D127/D13)</f>
        <v>0</v>
      </c>
      <c r="E157" s="9">
        <f t="shared" si="109"/>
        <v>0</v>
      </c>
      <c r="F157" s="9">
        <f t="shared" si="109"/>
        <v>-9.6401452410935717E-4</v>
      </c>
      <c r="G157" s="9">
        <f t="shared" si="109"/>
        <v>-9.6401452410935717E-4</v>
      </c>
      <c r="H157" s="9">
        <f t="shared" si="109"/>
        <v>-2.3832169085820066E-3</v>
      </c>
      <c r="I157" s="9">
        <f t="shared" si="109"/>
        <v>1.0471982219955041E-3</v>
      </c>
      <c r="J157" s="9">
        <f t="shared" si="109"/>
        <v>0</v>
      </c>
      <c r="K157" s="9">
        <f t="shared" si="109"/>
        <v>-2.2128660704447624E-3</v>
      </c>
      <c r="L157" s="9">
        <f t="shared" si="109"/>
        <v>-2.3832169085820066E-3</v>
      </c>
      <c r="M157" s="9">
        <f t="shared" si="109"/>
        <v>1.0471982219955041E-3</v>
      </c>
      <c r="N157" s="9">
        <f t="shared" si="109"/>
        <v>-9.6401452410935717E-4</v>
      </c>
      <c r="O157" s="9">
        <f t="shared" si="109"/>
        <v>-2.1417565116577035E-3</v>
      </c>
    </row>
    <row r="158" spans="1:15" x14ac:dyDescent="0.25">
      <c r="A158" s="1" t="s">
        <v>50</v>
      </c>
      <c r="B158" t="s">
        <v>59</v>
      </c>
      <c r="C158" t="s">
        <v>6</v>
      </c>
      <c r="D158" s="9">
        <f>IF(D14 = 0, 0, D128/D8)</f>
        <v>-1.8074949967661397E-3</v>
      </c>
      <c r="E158" s="9">
        <f t="shared" ref="E158:O158" si="110">IF(E14 = 0, 0, E128/E8)</f>
        <v>-1.8560701305625322E-3</v>
      </c>
      <c r="F158" s="9">
        <f t="shared" si="110"/>
        <v>0</v>
      </c>
      <c r="G158" s="9">
        <f t="shared" si="110"/>
        <v>-1.8169640714900737E-3</v>
      </c>
      <c r="H158" s="9">
        <f t="shared" si="110"/>
        <v>0</v>
      </c>
      <c r="I158" s="9">
        <f t="shared" si="110"/>
        <v>0</v>
      </c>
      <c r="J158" s="9">
        <f t="shared" si="110"/>
        <v>-2.0119549938310069E-3</v>
      </c>
      <c r="K158" s="9">
        <f t="shared" si="110"/>
        <v>-2.0119549938310069E-3</v>
      </c>
      <c r="L158" s="9">
        <f t="shared" si="110"/>
        <v>-1.8074949967661397E-3</v>
      </c>
      <c r="M158" s="9">
        <f t="shared" si="110"/>
        <v>-1.8560701305625322E-3</v>
      </c>
      <c r="N158" s="9">
        <f t="shared" si="110"/>
        <v>-2.0119549938310069E-3</v>
      </c>
      <c r="O158" s="9">
        <f t="shared" si="110"/>
        <v>-1.8259082381568738E-3</v>
      </c>
    </row>
    <row r="159" spans="1:15" x14ac:dyDescent="0.25">
      <c r="A159" s="1" t="s">
        <v>50</v>
      </c>
      <c r="B159" t="s">
        <v>59</v>
      </c>
      <c r="C159" t="s">
        <v>7</v>
      </c>
      <c r="D159" s="9">
        <f t="shared" ref="D159:O163" si="111">IF(D15 = 0, 0, D129/D9)</f>
        <v>-1.0773573107354473E-3</v>
      </c>
      <c r="E159" s="9">
        <f t="shared" si="111"/>
        <v>-4.5558550683962784E-3</v>
      </c>
      <c r="F159" s="9">
        <f t="shared" si="111"/>
        <v>0</v>
      </c>
      <c r="G159" s="9">
        <f t="shared" si="111"/>
        <v>-1.7478314193571914E-3</v>
      </c>
      <c r="H159" s="9">
        <f t="shared" si="111"/>
        <v>0</v>
      </c>
      <c r="I159" s="9">
        <f t="shared" si="111"/>
        <v>0</v>
      </c>
      <c r="J159" s="9">
        <f t="shared" si="111"/>
        <v>-1.3335665018168316E-3</v>
      </c>
      <c r="K159" s="9">
        <f t="shared" si="111"/>
        <v>-1.3335665018168316E-3</v>
      </c>
      <c r="L159" s="9">
        <f t="shared" si="111"/>
        <v>-1.0773573107354473E-3</v>
      </c>
      <c r="M159" s="9">
        <f t="shared" si="111"/>
        <v>-4.5558550683962784E-3</v>
      </c>
      <c r="N159" s="9">
        <f t="shared" si="111"/>
        <v>-1.3335665018168316E-3</v>
      </c>
      <c r="O159" s="9">
        <f t="shared" si="111"/>
        <v>-1.686448594567537E-3</v>
      </c>
    </row>
    <row r="160" spans="1:15" x14ac:dyDescent="0.25">
      <c r="A160" s="1" t="s">
        <v>50</v>
      </c>
      <c r="B160" t="s">
        <v>59</v>
      </c>
      <c r="C160" t="s">
        <v>8</v>
      </c>
      <c r="D160" s="9">
        <f t="shared" si="111"/>
        <v>-2.7692244012338398E-3</v>
      </c>
      <c r="E160" s="9">
        <f t="shared" si="111"/>
        <v>-4.8934889632355708E-3</v>
      </c>
      <c r="F160" s="9">
        <f t="shared" si="111"/>
        <v>0</v>
      </c>
      <c r="G160" s="9">
        <f t="shared" si="111"/>
        <v>-3.1823722348535465E-3</v>
      </c>
      <c r="H160" s="9">
        <f t="shared" si="111"/>
        <v>0</v>
      </c>
      <c r="I160" s="9">
        <f t="shared" si="111"/>
        <v>0</v>
      </c>
      <c r="J160" s="9">
        <f t="shared" si="111"/>
        <v>-4.2651263799989396E-3</v>
      </c>
      <c r="K160" s="9">
        <f t="shared" si="111"/>
        <v>-4.2651263799989396E-3</v>
      </c>
      <c r="L160" s="9">
        <f t="shared" si="111"/>
        <v>-2.7692244012338398E-3</v>
      </c>
      <c r="M160" s="9">
        <f t="shared" si="111"/>
        <v>-4.8934889632355708E-3</v>
      </c>
      <c r="N160" s="9">
        <f t="shared" si="111"/>
        <v>-4.2651263799989396E-3</v>
      </c>
      <c r="O160" s="9">
        <f t="shared" si="111"/>
        <v>-3.4792800448591329E-3</v>
      </c>
    </row>
    <row r="161" spans="1:15" x14ac:dyDescent="0.25">
      <c r="A161" s="1" t="s">
        <v>50</v>
      </c>
      <c r="B161" t="s">
        <v>59</v>
      </c>
      <c r="C161" t="s">
        <v>9</v>
      </c>
      <c r="D161" s="9">
        <f t="shared" si="111"/>
        <v>0</v>
      </c>
      <c r="E161" s="9">
        <f t="shared" si="111"/>
        <v>0</v>
      </c>
      <c r="F161" s="9">
        <f t="shared" si="111"/>
        <v>-4.9661265949501666E-4</v>
      </c>
      <c r="G161" s="9">
        <f t="shared" si="111"/>
        <v>-4.9661265949501666E-4</v>
      </c>
      <c r="H161" s="9">
        <f t="shared" si="111"/>
        <v>-1.9614772014122676E-3</v>
      </c>
      <c r="I161" s="9">
        <f t="shared" si="111"/>
        <v>-4.8144954031257171E-3</v>
      </c>
      <c r="J161" s="9">
        <f t="shared" si="111"/>
        <v>0</v>
      </c>
      <c r="K161" s="9">
        <f t="shared" si="111"/>
        <v>-2.2099973533036732E-3</v>
      </c>
      <c r="L161" s="9">
        <f t="shared" si="111"/>
        <v>-1.9614772014122676E-3</v>
      </c>
      <c r="M161" s="9">
        <f t="shared" si="111"/>
        <v>-4.8144954031257171E-3</v>
      </c>
      <c r="N161" s="9">
        <f t="shared" si="111"/>
        <v>-4.9661265949501666E-4</v>
      </c>
      <c r="O161" s="9">
        <f t="shared" si="111"/>
        <v>-2.1716537596214659E-3</v>
      </c>
    </row>
    <row r="162" spans="1:15" x14ac:dyDescent="0.25">
      <c r="A162" s="1" t="s">
        <v>50</v>
      </c>
      <c r="B162" t="s">
        <v>59</v>
      </c>
      <c r="C162" t="s">
        <v>10</v>
      </c>
      <c r="D162" s="9">
        <f t="shared" si="111"/>
        <v>0</v>
      </c>
      <c r="E162" s="9">
        <f t="shared" si="111"/>
        <v>0</v>
      </c>
      <c r="F162" s="9">
        <f t="shared" si="111"/>
        <v>-2.7109150093407877E-4</v>
      </c>
      <c r="G162" s="9">
        <f t="shared" si="111"/>
        <v>-2.7109150093407877E-4</v>
      </c>
      <c r="H162" s="9">
        <f t="shared" si="111"/>
        <v>-3.1363791906352328E-3</v>
      </c>
      <c r="I162" s="9">
        <f t="shared" si="111"/>
        <v>3.7260029081289466E-4</v>
      </c>
      <c r="J162" s="9">
        <f t="shared" si="111"/>
        <v>0</v>
      </c>
      <c r="K162" s="9">
        <f t="shared" si="111"/>
        <v>-2.9010755014271792E-3</v>
      </c>
      <c r="L162" s="9">
        <f t="shared" si="111"/>
        <v>-3.1363791906352328E-3</v>
      </c>
      <c r="M162" s="9">
        <f t="shared" si="111"/>
        <v>3.7260029081289466E-4</v>
      </c>
      <c r="N162" s="9">
        <f t="shared" si="111"/>
        <v>-2.7109150093407877E-4</v>
      </c>
      <c r="O162" s="9">
        <f t="shared" si="111"/>
        <v>-2.8371537058724679E-3</v>
      </c>
    </row>
    <row r="163" spans="1:15" x14ac:dyDescent="0.25">
      <c r="A163" s="1" t="s">
        <v>50</v>
      </c>
      <c r="B163" t="s">
        <v>59</v>
      </c>
      <c r="C163" t="s">
        <v>11</v>
      </c>
      <c r="D163" s="9">
        <f t="shared" si="111"/>
        <v>0</v>
      </c>
      <c r="E163" s="9">
        <f t="shared" si="111"/>
        <v>0</v>
      </c>
      <c r="F163" s="9">
        <f t="shared" si="111"/>
        <v>-1.3031132669707483E-3</v>
      </c>
      <c r="G163" s="9">
        <f t="shared" si="111"/>
        <v>-1.3031132669707483E-3</v>
      </c>
      <c r="H163" s="9">
        <f t="shared" si="111"/>
        <v>-4.4883744017437327E-3</v>
      </c>
      <c r="I163" s="9">
        <f t="shared" si="111"/>
        <v>5.162704880536953E-3</v>
      </c>
      <c r="J163" s="9">
        <f t="shared" si="111"/>
        <v>0</v>
      </c>
      <c r="K163" s="9">
        <f t="shared" si="111"/>
        <v>-4.0091118687575044E-3</v>
      </c>
      <c r="L163" s="9">
        <f t="shared" si="111"/>
        <v>-4.4883744017437327E-3</v>
      </c>
      <c r="M163" s="9">
        <f t="shared" si="111"/>
        <v>5.162704880536953E-3</v>
      </c>
      <c r="N163" s="9">
        <f t="shared" si="111"/>
        <v>-1.3031132669707483E-3</v>
      </c>
      <c r="O163" s="9">
        <f t="shared" si="111"/>
        <v>-3.8550324129435431E-3</v>
      </c>
    </row>
  </sheetData>
  <autoFilter ref="A7:O163" xr:uid="{90299768-7F22-4657-A64A-DD0A3F32DBCB}"/>
  <conditionalFormatting sqref="D74:O103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34:O163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46548-4EE5-4815-9474-06C51C027578}">
  <dimension ref="A1:Q33"/>
  <sheetViews>
    <sheetView topLeftCell="H17" workbookViewId="0">
      <selection activeCell="H17" sqref="H17"/>
    </sheetView>
  </sheetViews>
  <sheetFormatPr defaultRowHeight="15" x14ac:dyDescent="0.25"/>
  <cols>
    <col min="1" max="2" width="34.42578125" customWidth="1"/>
    <col min="3" max="3" width="16.7109375" bestFit="1" customWidth="1"/>
    <col min="4" max="4" width="37.140625" bestFit="1" customWidth="1"/>
    <col min="5" max="5" width="16.7109375" bestFit="1" customWidth="1"/>
    <col min="6" max="6" width="41.7109375" bestFit="1" customWidth="1"/>
    <col min="7" max="7" width="18.28515625" bestFit="1" customWidth="1"/>
    <col min="8" max="8" width="16.7109375" bestFit="1" customWidth="1"/>
    <col min="9" max="9" width="38.5703125" bestFit="1" customWidth="1"/>
    <col min="10" max="10" width="16.7109375" bestFit="1" customWidth="1"/>
    <col min="11" max="11" width="43.140625" bestFit="1" customWidth="1"/>
    <col min="12" max="12" width="19.5703125" bestFit="1" customWidth="1"/>
    <col min="13" max="13" width="16.7109375" bestFit="1" customWidth="1"/>
    <col min="14" max="14" width="32.5703125" bestFit="1" customWidth="1"/>
    <col min="15" max="15" width="16.7109375" bestFit="1" customWidth="1"/>
    <col min="16" max="16" width="37.140625" bestFit="1" customWidth="1"/>
    <col min="17" max="17" width="16.7109375" bestFit="1" customWidth="1"/>
  </cols>
  <sheetData>
    <row r="1" spans="1:17" x14ac:dyDescent="0.25">
      <c r="A1" s="2" t="s">
        <v>58</v>
      </c>
    </row>
    <row r="2" spans="1:17" x14ac:dyDescent="0.25">
      <c r="A2" s="1" t="s">
        <v>52</v>
      </c>
    </row>
    <row r="3" spans="1:17" x14ac:dyDescent="0.25">
      <c r="A3" s="1" t="s">
        <v>53</v>
      </c>
    </row>
    <row r="4" spans="1:17" x14ac:dyDescent="0.25">
      <c r="A4" s="1" t="s">
        <v>55</v>
      </c>
    </row>
    <row r="5" spans="1:17" x14ac:dyDescent="0.25">
      <c r="A5" s="1" t="s">
        <v>57</v>
      </c>
    </row>
    <row r="6" spans="1:17" x14ac:dyDescent="0.25">
      <c r="A6" s="1"/>
    </row>
    <row r="7" spans="1:17" ht="15.75" thickBot="1" x14ac:dyDescent="0.3">
      <c r="A7" s="11" t="s">
        <v>56</v>
      </c>
      <c r="B7" s="12" t="s">
        <v>0</v>
      </c>
      <c r="C7" s="12" t="s">
        <v>12</v>
      </c>
      <c r="D7" s="12" t="s">
        <v>23</v>
      </c>
      <c r="E7" s="12" t="s">
        <v>24</v>
      </c>
      <c r="F7" s="12" t="s">
        <v>25</v>
      </c>
      <c r="G7" s="12" t="s">
        <v>26</v>
      </c>
      <c r="H7" s="12" t="s">
        <v>16</v>
      </c>
      <c r="I7" s="12" t="s">
        <v>27</v>
      </c>
      <c r="J7" s="12" t="s">
        <v>28</v>
      </c>
      <c r="K7" s="12" t="s">
        <v>29</v>
      </c>
      <c r="L7" s="12" t="s">
        <v>30</v>
      </c>
      <c r="M7" s="12" t="s">
        <v>2</v>
      </c>
      <c r="N7" s="12" t="s">
        <v>31</v>
      </c>
      <c r="O7" s="12" t="s">
        <v>32</v>
      </c>
      <c r="P7" s="12" t="s">
        <v>33</v>
      </c>
      <c r="Q7" s="12" t="s">
        <v>34</v>
      </c>
    </row>
    <row r="8" spans="1:17" x14ac:dyDescent="0.25">
      <c r="A8" t="s">
        <v>46</v>
      </c>
      <c r="B8" t="s">
        <v>35</v>
      </c>
      <c r="C8" s="16">
        <v>19861.292345763501</v>
      </c>
      <c r="D8" s="16">
        <v>7192.0673413106897</v>
      </c>
      <c r="E8" s="16">
        <v>3683.9198910616701</v>
      </c>
      <c r="F8" s="16">
        <v>27053.359687074098</v>
      </c>
      <c r="G8" s="16">
        <v>23545.2122368251</v>
      </c>
      <c r="H8" s="16">
        <v>14978.4029968963</v>
      </c>
      <c r="I8" s="16">
        <v>2264.9744582898002</v>
      </c>
      <c r="J8" s="16">
        <v>1605.0558617532599</v>
      </c>
      <c r="K8" s="16">
        <v>17243.377455186099</v>
      </c>
      <c r="L8" s="16">
        <v>16583.458858649599</v>
      </c>
      <c r="M8" s="16">
        <v>34839.695342659797</v>
      </c>
      <c r="N8" s="16">
        <v>9457.0417996004908</v>
      </c>
      <c r="O8" s="16">
        <v>5288.9757528149303</v>
      </c>
      <c r="P8" s="16">
        <v>44296.737142260303</v>
      </c>
      <c r="Q8" s="16">
        <v>40128.671095474703</v>
      </c>
    </row>
    <row r="9" spans="1:17" x14ac:dyDescent="0.25">
      <c r="A9" t="s">
        <v>46</v>
      </c>
      <c r="B9" t="s">
        <v>36</v>
      </c>
      <c r="C9" s="16">
        <v>19862.906595732798</v>
      </c>
      <c r="D9" s="16">
        <v>7185.87633359136</v>
      </c>
      <c r="E9" s="16">
        <v>3655.0477487350499</v>
      </c>
      <c r="F9" s="16">
        <v>27048.782929324101</v>
      </c>
      <c r="G9" s="16">
        <v>23517.954344467798</v>
      </c>
      <c r="H9" s="16">
        <v>14980.5562100101</v>
      </c>
      <c r="I9" s="16">
        <v>2263.6289655948199</v>
      </c>
      <c r="J9" s="16">
        <v>1603.78619373788</v>
      </c>
      <c r="K9" s="16">
        <v>17244.185175604998</v>
      </c>
      <c r="L9" s="16">
        <v>16584.342403748</v>
      </c>
      <c r="M9" s="16">
        <v>34843.4628057429</v>
      </c>
      <c r="N9" s="16">
        <v>9449.5052991861794</v>
      </c>
      <c r="O9" s="16">
        <v>5258.8339424729402</v>
      </c>
      <c r="P9" s="16">
        <v>44292.968104929103</v>
      </c>
      <c r="Q9" s="16">
        <v>40102.2967482159</v>
      </c>
    </row>
    <row r="10" spans="1:17" x14ac:dyDescent="0.25">
      <c r="A10" t="s">
        <v>46</v>
      </c>
      <c r="B10" t="s">
        <v>37</v>
      </c>
      <c r="C10" s="17">
        <v>19803.311966246099</v>
      </c>
      <c r="D10" s="17">
        <v>7193.4920609364799</v>
      </c>
      <c r="E10" s="17">
        <v>3657.2009714629298</v>
      </c>
      <c r="F10" s="17">
        <v>26996.804027182599</v>
      </c>
      <c r="G10" s="17">
        <v>23460.5129377091</v>
      </c>
      <c r="H10" s="17">
        <v>14943.1641123021</v>
      </c>
      <c r="I10" s="17">
        <v>2266.6328333420502</v>
      </c>
      <c r="J10" s="17">
        <v>1606.9102408178501</v>
      </c>
      <c r="K10" s="17">
        <v>17209.796945644099</v>
      </c>
      <c r="L10" s="17">
        <v>16550.0743531199</v>
      </c>
      <c r="M10" s="17">
        <v>34746.476078548199</v>
      </c>
      <c r="N10" s="17">
        <v>9460.1248942785296</v>
      </c>
      <c r="O10" s="17">
        <v>5264.1112122807799</v>
      </c>
      <c r="P10" s="17">
        <v>44206.600972826804</v>
      </c>
      <c r="Q10" s="17">
        <v>40010.587290828997</v>
      </c>
    </row>
    <row r="11" spans="1:17" x14ac:dyDescent="0.25">
      <c r="A11" t="s">
        <v>46</v>
      </c>
      <c r="B11" t="s">
        <v>38</v>
      </c>
      <c r="C11" s="17">
        <v>19824.6671808582</v>
      </c>
      <c r="D11" s="17">
        <v>7141.4155119305397</v>
      </c>
      <c r="E11" s="17">
        <v>3554.3832158048699</v>
      </c>
      <c r="F11" s="17">
        <v>26966.082692788699</v>
      </c>
      <c r="G11" s="17">
        <v>23379.050396662999</v>
      </c>
      <c r="H11" s="17">
        <v>14942.6649533211</v>
      </c>
      <c r="I11" s="17">
        <v>2231.9130772957901</v>
      </c>
      <c r="J11" s="17">
        <v>1556.2081697726701</v>
      </c>
      <c r="K11" s="17">
        <v>17174.578030616802</v>
      </c>
      <c r="L11" s="17">
        <v>16498.873123093701</v>
      </c>
      <c r="M11" s="17">
        <v>34767.332134179203</v>
      </c>
      <c r="N11" s="17">
        <v>9373.3285892263302</v>
      </c>
      <c r="O11" s="17">
        <v>5110.5913855775398</v>
      </c>
      <c r="P11" s="17">
        <v>44140.660723405497</v>
      </c>
      <c r="Q11" s="17">
        <v>39877.923519756703</v>
      </c>
    </row>
    <row r="12" spans="1:17" x14ac:dyDescent="0.25">
      <c r="A12" t="s">
        <v>46</v>
      </c>
      <c r="B12" t="s">
        <v>39</v>
      </c>
      <c r="C12" s="17">
        <v>19821.687832589501</v>
      </c>
      <c r="D12" s="17">
        <v>7150.8435477790099</v>
      </c>
      <c r="E12" s="17">
        <v>3594.6540617382502</v>
      </c>
      <c r="F12" s="17">
        <v>26972.531380368499</v>
      </c>
      <c r="G12" s="17">
        <v>23416.341894327801</v>
      </c>
      <c r="H12" s="17">
        <v>14941.283037179999</v>
      </c>
      <c r="I12" s="17">
        <v>2232.2707560764202</v>
      </c>
      <c r="J12" s="17">
        <v>1554.9881967900899</v>
      </c>
      <c r="K12" s="17">
        <v>17173.553793256498</v>
      </c>
      <c r="L12" s="17">
        <v>16496.271233970099</v>
      </c>
      <c r="M12" s="17">
        <v>34762.970869769597</v>
      </c>
      <c r="N12" s="17">
        <v>9383.1143038554292</v>
      </c>
      <c r="O12" s="17">
        <v>5149.6422585283399</v>
      </c>
      <c r="P12" s="17">
        <v>44146.085173624997</v>
      </c>
      <c r="Q12" s="17">
        <v>39912.613128297897</v>
      </c>
    </row>
    <row r="13" spans="1:17" x14ac:dyDescent="0.25">
      <c r="A13" t="s">
        <v>46</v>
      </c>
      <c r="B13" t="s">
        <v>59</v>
      </c>
      <c r="C13" s="17">
        <v>19821.124981711098</v>
      </c>
      <c r="D13" s="17">
        <v>7150.9483780280598</v>
      </c>
      <c r="E13" s="17">
        <v>3593.78693090358</v>
      </c>
      <c r="F13" s="17">
        <v>26972.073359739199</v>
      </c>
      <c r="G13" s="17">
        <v>23414.911912614702</v>
      </c>
      <c r="H13" s="17">
        <v>14940.4572961546</v>
      </c>
      <c r="I13" s="17">
        <v>2230.22272801384</v>
      </c>
      <c r="J13" s="17">
        <v>1542.61435778999</v>
      </c>
      <c r="K13" s="17">
        <v>17170.680024168501</v>
      </c>
      <c r="L13" s="17">
        <v>16483.0716539446</v>
      </c>
      <c r="M13" s="17">
        <v>34761.582277865797</v>
      </c>
      <c r="N13" s="17">
        <v>9381.1711060419002</v>
      </c>
      <c r="O13" s="17">
        <v>5136.4012886935698</v>
      </c>
      <c r="P13" s="17">
        <v>44142.7533839077</v>
      </c>
      <c r="Q13" s="17">
        <v>39897.983566559298</v>
      </c>
    </row>
    <row r="14" spans="1:17" x14ac:dyDescent="0.25">
      <c r="A14" s="1" t="s">
        <v>47</v>
      </c>
      <c r="B14" t="s">
        <v>36</v>
      </c>
      <c r="C14" s="10">
        <f>C9-C8</f>
        <v>1.6142499692978163</v>
      </c>
      <c r="D14" s="10">
        <f t="shared" ref="D14:Q14" si="0">D9-D8</f>
        <v>-6.1910077193297184</v>
      </c>
      <c r="E14" s="10">
        <f t="shared" si="0"/>
        <v>-28.872142326620178</v>
      </c>
      <c r="F14" s="10">
        <f t="shared" si="0"/>
        <v>-4.5767577499973413</v>
      </c>
      <c r="G14" s="10">
        <f t="shared" si="0"/>
        <v>-27.257892357301898</v>
      </c>
      <c r="H14" s="10">
        <f t="shared" si="0"/>
        <v>2.153213113799211</v>
      </c>
      <c r="I14" s="10">
        <f t="shared" si="0"/>
        <v>-1.3454926949802939</v>
      </c>
      <c r="J14" s="10">
        <f t="shared" si="0"/>
        <v>-1.2696680153799207</v>
      </c>
      <c r="K14" s="10">
        <f t="shared" si="0"/>
        <v>0.80772041889940738</v>
      </c>
      <c r="L14" s="10">
        <f t="shared" si="0"/>
        <v>0.88354509840064566</v>
      </c>
      <c r="M14" s="10">
        <f t="shared" si="0"/>
        <v>3.7674630831024842</v>
      </c>
      <c r="N14" s="10">
        <f t="shared" si="0"/>
        <v>-7.5365004143113765</v>
      </c>
      <c r="O14" s="10">
        <f t="shared" si="0"/>
        <v>-30.141810341990094</v>
      </c>
      <c r="P14" s="10">
        <f t="shared" si="0"/>
        <v>-3.7690373311997973</v>
      </c>
      <c r="Q14" s="10">
        <f t="shared" si="0"/>
        <v>-26.374347258803027</v>
      </c>
    </row>
    <row r="15" spans="1:17" x14ac:dyDescent="0.25">
      <c r="A15" s="1" t="s">
        <v>47</v>
      </c>
      <c r="B15" t="s">
        <v>37</v>
      </c>
      <c r="C15" s="10">
        <f>C10-C9</f>
        <v>-59.594629486698977</v>
      </c>
      <c r="D15" s="10">
        <f t="shared" ref="D15:Q15" si="1">D10-D9</f>
        <v>7.6157273451199217</v>
      </c>
      <c r="E15" s="10">
        <f t="shared" si="1"/>
        <v>2.1532227278798928</v>
      </c>
      <c r="F15" s="10">
        <f t="shared" si="1"/>
        <v>-51.978902141501749</v>
      </c>
      <c r="G15" s="10">
        <f t="shared" si="1"/>
        <v>-57.441406758698577</v>
      </c>
      <c r="H15" s="10">
        <f t="shared" si="1"/>
        <v>-37.39209770799971</v>
      </c>
      <c r="I15" s="10">
        <f t="shared" si="1"/>
        <v>3.0038677472302879</v>
      </c>
      <c r="J15" s="10">
        <f t="shared" si="1"/>
        <v>3.1240470799700688</v>
      </c>
      <c r="K15" s="10">
        <f t="shared" si="1"/>
        <v>-34.38822996089948</v>
      </c>
      <c r="L15" s="10">
        <f t="shared" si="1"/>
        <v>-34.268050628099445</v>
      </c>
      <c r="M15" s="10">
        <f t="shared" si="1"/>
        <v>-96.986727194700507</v>
      </c>
      <c r="N15" s="10">
        <f t="shared" si="1"/>
        <v>10.61959509235021</v>
      </c>
      <c r="O15" s="10">
        <f t="shared" si="1"/>
        <v>5.2772698078397298</v>
      </c>
      <c r="P15" s="10">
        <f t="shared" si="1"/>
        <v>-86.367132102299365</v>
      </c>
      <c r="Q15" s="10">
        <f t="shared" si="1"/>
        <v>-91.709457386903523</v>
      </c>
    </row>
    <row r="16" spans="1:17" x14ac:dyDescent="0.25">
      <c r="A16" s="1" t="s">
        <v>47</v>
      </c>
      <c r="B16" t="s">
        <v>38</v>
      </c>
      <c r="C16" s="10">
        <f>C11-C10</f>
        <v>21.355214612100099</v>
      </c>
      <c r="D16" s="10">
        <f t="shared" ref="D16:Q16" si="2">D11-D10</f>
        <v>-52.076549005940251</v>
      </c>
      <c r="E16" s="10">
        <f t="shared" si="2"/>
        <v>-102.81775565805992</v>
      </c>
      <c r="F16" s="10">
        <f t="shared" si="2"/>
        <v>-30.721334393900179</v>
      </c>
      <c r="G16" s="10">
        <f t="shared" si="2"/>
        <v>-81.462541046101251</v>
      </c>
      <c r="H16" s="10">
        <f t="shared" si="2"/>
        <v>-0.49915898099970946</v>
      </c>
      <c r="I16" s="10">
        <f t="shared" si="2"/>
        <v>-34.719756046260045</v>
      </c>
      <c r="J16" s="10">
        <f t="shared" si="2"/>
        <v>-50.702071045179991</v>
      </c>
      <c r="K16" s="10">
        <f t="shared" si="2"/>
        <v>-35.218915027297044</v>
      </c>
      <c r="L16" s="10">
        <f t="shared" si="2"/>
        <v>-51.201230026199482</v>
      </c>
      <c r="M16" s="10">
        <f t="shared" si="2"/>
        <v>20.856055631003983</v>
      </c>
      <c r="N16" s="10">
        <f t="shared" si="2"/>
        <v>-86.796305052199386</v>
      </c>
      <c r="O16" s="10">
        <f t="shared" si="2"/>
        <v>-153.51982670324014</v>
      </c>
      <c r="P16" s="10">
        <f t="shared" si="2"/>
        <v>-65.940249421306362</v>
      </c>
      <c r="Q16" s="10">
        <f t="shared" si="2"/>
        <v>-132.66377107229346</v>
      </c>
    </row>
    <row r="17" spans="1:17" x14ac:dyDescent="0.25">
      <c r="A17" s="1" t="s">
        <v>47</v>
      </c>
      <c r="B17" t="s">
        <v>39</v>
      </c>
      <c r="C17" s="10">
        <f>C12-C11</f>
        <v>-2.9793482686982315</v>
      </c>
      <c r="D17" s="10">
        <f t="shared" ref="D17:Q17" si="3">D12-D11</f>
        <v>9.4280358484702447</v>
      </c>
      <c r="E17" s="10">
        <f t="shared" si="3"/>
        <v>40.270845933380315</v>
      </c>
      <c r="F17" s="10">
        <f t="shared" si="3"/>
        <v>6.448687579799298</v>
      </c>
      <c r="G17" s="10">
        <f t="shared" si="3"/>
        <v>37.291497664802591</v>
      </c>
      <c r="H17" s="10">
        <f t="shared" si="3"/>
        <v>-1.3819161411011009</v>
      </c>
      <c r="I17" s="10">
        <f t="shared" si="3"/>
        <v>0.35767878063006719</v>
      </c>
      <c r="J17" s="10">
        <f t="shared" si="3"/>
        <v>-1.2199729825802024</v>
      </c>
      <c r="K17" s="10">
        <f t="shared" si="3"/>
        <v>-1.024237360303232</v>
      </c>
      <c r="L17" s="10">
        <f t="shared" si="3"/>
        <v>-2.6018891236017225</v>
      </c>
      <c r="M17" s="10">
        <f t="shared" si="3"/>
        <v>-4.3612644096065196</v>
      </c>
      <c r="N17" s="10">
        <f t="shared" si="3"/>
        <v>9.7857146290989476</v>
      </c>
      <c r="O17" s="10">
        <f t="shared" si="3"/>
        <v>39.050872950800112</v>
      </c>
      <c r="P17" s="10">
        <f t="shared" si="3"/>
        <v>5.424450219499704</v>
      </c>
      <c r="Q17" s="10">
        <f t="shared" si="3"/>
        <v>34.689608541193593</v>
      </c>
    </row>
    <row r="18" spans="1:17" x14ac:dyDescent="0.25">
      <c r="A18" s="1" t="s">
        <v>47</v>
      </c>
      <c r="B18" t="s">
        <v>59</v>
      </c>
      <c r="C18" s="10">
        <f>C13-C12</f>
        <v>-0.5628508784029691</v>
      </c>
      <c r="D18" s="10">
        <f t="shared" ref="D18:Q18" si="4">D13-D12</f>
        <v>0.1048302490498827</v>
      </c>
      <c r="E18" s="10">
        <f t="shared" si="4"/>
        <v>-0.86713083467020624</v>
      </c>
      <c r="F18" s="10">
        <f t="shared" si="4"/>
        <v>-0.45802062929942622</v>
      </c>
      <c r="G18" s="10">
        <f t="shared" si="4"/>
        <v>-1.4299817130995507</v>
      </c>
      <c r="H18" s="10">
        <f t="shared" si="4"/>
        <v>-0.82574102539911109</v>
      </c>
      <c r="I18" s="10">
        <f t="shared" si="4"/>
        <v>-2.0480280625802152</v>
      </c>
      <c r="J18" s="10">
        <f t="shared" si="4"/>
        <v>-12.373839000099906</v>
      </c>
      <c r="K18" s="10">
        <f t="shared" si="4"/>
        <v>-2.8737690879970614</v>
      </c>
      <c r="L18" s="10">
        <f t="shared" si="4"/>
        <v>-13.199580025499017</v>
      </c>
      <c r="M18" s="10">
        <f t="shared" si="4"/>
        <v>-1.3885919038002612</v>
      </c>
      <c r="N18" s="10">
        <f t="shared" si="4"/>
        <v>-1.9431978135289683</v>
      </c>
      <c r="O18" s="10">
        <f t="shared" si="4"/>
        <v>-13.240969834770112</v>
      </c>
      <c r="P18" s="10">
        <f t="shared" si="4"/>
        <v>-3.3317897172964877</v>
      </c>
      <c r="Q18" s="10">
        <f t="shared" si="4"/>
        <v>-14.629561738598568</v>
      </c>
    </row>
    <row r="19" spans="1:17" x14ac:dyDescent="0.25">
      <c r="A19" s="1" t="s">
        <v>48</v>
      </c>
      <c r="B19" t="s">
        <v>36</v>
      </c>
      <c r="C19" s="9">
        <f>C14/C8</f>
        <v>8.1276179877697778E-5</v>
      </c>
      <c r="D19" s="9">
        <f t="shared" ref="D19:Q19" si="5">D14/D8</f>
        <v>-8.6081058832264249E-4</v>
      </c>
      <c r="E19" s="9">
        <f t="shared" si="5"/>
        <v>-7.8373426079847534E-3</v>
      </c>
      <c r="F19" s="9">
        <f t="shared" si="5"/>
        <v>-1.6917520792007521E-4</v>
      </c>
      <c r="G19" s="9">
        <f t="shared" si="5"/>
        <v>-1.1576830178098843E-3</v>
      </c>
      <c r="H19" s="9">
        <f t="shared" si="5"/>
        <v>1.4375451870572462E-4</v>
      </c>
      <c r="I19" s="9">
        <f t="shared" si="5"/>
        <v>-5.9404320876811406E-4</v>
      </c>
      <c r="J19" s="9">
        <f t="shared" si="5"/>
        <v>-7.9104288245333528E-4</v>
      </c>
      <c r="K19" s="9">
        <f t="shared" si="5"/>
        <v>4.6842355623113629E-5</v>
      </c>
      <c r="L19" s="9">
        <f t="shared" si="5"/>
        <v>5.3278698125138489E-5</v>
      </c>
      <c r="M19" s="9">
        <f t="shared" si="5"/>
        <v>1.0813708461133924E-4</v>
      </c>
      <c r="N19" s="9">
        <f t="shared" si="5"/>
        <v>-7.9691943569814325E-4</v>
      </c>
      <c r="O19" s="9">
        <f t="shared" si="5"/>
        <v>-5.6989881880150119E-3</v>
      </c>
      <c r="P19" s="9">
        <f t="shared" si="5"/>
        <v>-8.508611636779072E-5</v>
      </c>
      <c r="Q19" s="9">
        <f t="shared" si="5"/>
        <v>-6.5724447231389261E-4</v>
      </c>
    </row>
    <row r="20" spans="1:17" x14ac:dyDescent="0.25">
      <c r="A20" s="1" t="s">
        <v>48</v>
      </c>
      <c r="B20" t="s">
        <v>37</v>
      </c>
      <c r="C20" s="9">
        <f>C15/C9</f>
        <v>-3.0002975244067176E-3</v>
      </c>
      <c r="D20" s="9">
        <f t="shared" ref="D20:Q20" si="6">D15/D9</f>
        <v>1.0598188712932846E-3</v>
      </c>
      <c r="E20" s="9">
        <f t="shared" si="6"/>
        <v>5.8910932931726724E-4</v>
      </c>
      <c r="F20" s="9">
        <f t="shared" si="6"/>
        <v>-1.9216724936318827E-3</v>
      </c>
      <c r="G20" s="9">
        <f t="shared" si="6"/>
        <v>-2.4424491142959761E-3</v>
      </c>
      <c r="H20" s="9">
        <f t="shared" si="6"/>
        <v>-2.4960420149830005E-3</v>
      </c>
      <c r="I20" s="9">
        <f t="shared" si="6"/>
        <v>1.327014185136544E-3</v>
      </c>
      <c r="J20" s="9">
        <f t="shared" si="6"/>
        <v>1.9479199235959113E-3</v>
      </c>
      <c r="K20" s="9">
        <f t="shared" si="6"/>
        <v>-1.994192802426398E-3</v>
      </c>
      <c r="L20" s="9">
        <f t="shared" si="6"/>
        <v>-2.0662893827104651E-3</v>
      </c>
      <c r="M20" s="9">
        <f t="shared" si="6"/>
        <v>-2.7834985212409815E-3</v>
      </c>
      <c r="N20" s="9">
        <f t="shared" si="6"/>
        <v>1.1238255079093718E-3</v>
      </c>
      <c r="O20" s="9">
        <f t="shared" si="6"/>
        <v>1.0035056945262889E-3</v>
      </c>
      <c r="P20" s="9">
        <f t="shared" si="6"/>
        <v>-1.9499061769285241E-3</v>
      </c>
      <c r="Q20" s="9">
        <f t="shared" si="6"/>
        <v>-2.2868879047677876E-3</v>
      </c>
    </row>
    <row r="21" spans="1:17" x14ac:dyDescent="0.25">
      <c r="A21" s="1" t="s">
        <v>48</v>
      </c>
      <c r="B21" t="s">
        <v>38</v>
      </c>
      <c r="C21" s="9">
        <f>C16/C10</f>
        <v>1.0783658131780761E-3</v>
      </c>
      <c r="D21" s="9">
        <f t="shared" ref="D21:Q21" si="7">D16/D10</f>
        <v>-7.2393975783662298E-3</v>
      </c>
      <c r="E21" s="9">
        <f t="shared" si="7"/>
        <v>-2.8113783316898615E-2</v>
      </c>
      <c r="F21" s="9">
        <f t="shared" si="7"/>
        <v>-1.1379618995999458E-3</v>
      </c>
      <c r="G21" s="9">
        <f t="shared" si="7"/>
        <v>-3.4723256589655792E-3</v>
      </c>
      <c r="H21" s="9">
        <f t="shared" si="7"/>
        <v>-3.3403834505757193E-5</v>
      </c>
      <c r="I21" s="9">
        <f t="shared" si="7"/>
        <v>-1.5317768072329251E-2</v>
      </c>
      <c r="J21" s="9">
        <f t="shared" si="7"/>
        <v>-3.155252219898403E-2</v>
      </c>
      <c r="K21" s="9">
        <f t="shared" si="7"/>
        <v>-2.0464457040680634E-3</v>
      </c>
      <c r="L21" s="9">
        <f t="shared" si="7"/>
        <v>-3.0937160120097828E-3</v>
      </c>
      <c r="M21" s="9">
        <f t="shared" si="7"/>
        <v>6.0023513129379199E-4</v>
      </c>
      <c r="N21" s="9">
        <f t="shared" si="7"/>
        <v>-9.1749639695236657E-3</v>
      </c>
      <c r="O21" s="9">
        <f t="shared" si="7"/>
        <v>-2.9163484681913598E-2</v>
      </c>
      <c r="P21" s="9">
        <f t="shared" si="7"/>
        <v>-1.4916380805174083E-3</v>
      </c>
      <c r="Q21" s="9">
        <f t="shared" si="7"/>
        <v>-3.3157166653912601E-3</v>
      </c>
    </row>
    <row r="22" spans="1:17" x14ac:dyDescent="0.25">
      <c r="A22" s="1" t="s">
        <v>48</v>
      </c>
      <c r="B22" t="s">
        <v>39</v>
      </c>
      <c r="C22" s="9">
        <f>C17/C11</f>
        <v>-1.5028490725811302E-4</v>
      </c>
      <c r="D22" s="9">
        <f t="shared" ref="D22:Q22" si="8">D17/D11</f>
        <v>1.3201914708253074E-3</v>
      </c>
      <c r="E22" s="9">
        <f t="shared" si="8"/>
        <v>1.1329911123345547E-2</v>
      </c>
      <c r="F22" s="9">
        <f t="shared" si="8"/>
        <v>2.3914068844429576E-4</v>
      </c>
      <c r="G22" s="9">
        <f t="shared" si="8"/>
        <v>1.5950817946876654E-3</v>
      </c>
      <c r="H22" s="9">
        <f t="shared" si="8"/>
        <v>-9.2481237143309002E-5</v>
      </c>
      <c r="I22" s="9">
        <f t="shared" si="8"/>
        <v>1.6025659075551214E-4</v>
      </c>
      <c r="J22" s="9">
        <f t="shared" si="8"/>
        <v>-7.8393945378041243E-4</v>
      </c>
      <c r="K22" s="9">
        <f t="shared" si="8"/>
        <v>-5.9636828251462311E-5</v>
      </c>
      <c r="L22" s="9">
        <f t="shared" si="8"/>
        <v>-1.5770102019633221E-4</v>
      </c>
      <c r="M22" s="9">
        <f t="shared" si="8"/>
        <v>-1.2544144580248166E-4</v>
      </c>
      <c r="N22" s="9">
        <f t="shared" si="8"/>
        <v>1.0439956879722122E-3</v>
      </c>
      <c r="O22" s="9">
        <f t="shared" si="8"/>
        <v>7.6411651811969378E-3</v>
      </c>
      <c r="P22" s="9">
        <f t="shared" si="8"/>
        <v>1.2289010020693686E-4</v>
      </c>
      <c r="Q22" s="9">
        <f t="shared" si="8"/>
        <v>8.6989505669740641E-4</v>
      </c>
    </row>
    <row r="23" spans="1:17" x14ac:dyDescent="0.25">
      <c r="A23" s="1" t="s">
        <v>48</v>
      </c>
      <c r="B23" t="s">
        <v>59</v>
      </c>
      <c r="C23" s="9">
        <f>C18/C12</f>
        <v>-2.8395708940465054E-5</v>
      </c>
      <c r="D23" s="9">
        <f t="shared" ref="D23:Q23" si="9">D18/D12</f>
        <v>1.4659843744230995E-5</v>
      </c>
      <c r="E23" s="9">
        <f t="shared" si="9"/>
        <v>-2.412278955852825E-4</v>
      </c>
      <c r="F23" s="9">
        <f t="shared" si="9"/>
        <v>-1.6981002740913994E-5</v>
      </c>
      <c r="G23" s="9">
        <f t="shared" si="9"/>
        <v>-6.1067681687972743E-5</v>
      </c>
      <c r="H23" s="9">
        <f t="shared" si="9"/>
        <v>-5.5265737443319362E-5</v>
      </c>
      <c r="I23" s="9">
        <f t="shared" si="9"/>
        <v>-9.1746400252089419E-4</v>
      </c>
      <c r="J23" s="9">
        <f t="shared" si="9"/>
        <v>-7.9575131345966544E-3</v>
      </c>
      <c r="K23" s="9">
        <f t="shared" si="9"/>
        <v>-1.6733689034854847E-4</v>
      </c>
      <c r="L23" s="9">
        <f t="shared" si="9"/>
        <v>-8.0015537076752593E-4</v>
      </c>
      <c r="M23" s="9">
        <f t="shared" si="9"/>
        <v>-3.9944569438620723E-5</v>
      </c>
      <c r="N23" s="9">
        <f t="shared" si="9"/>
        <v>-2.0709518722696656E-4</v>
      </c>
      <c r="O23" s="9">
        <f t="shared" si="9"/>
        <v>-2.5712407134382389E-3</v>
      </c>
      <c r="P23" s="9">
        <f t="shared" si="9"/>
        <v>-7.5471917933213689E-5</v>
      </c>
      <c r="Q23" s="9">
        <f t="shared" si="9"/>
        <v>-3.6653981265451804E-4</v>
      </c>
    </row>
    <row r="24" spans="1:17" x14ac:dyDescent="0.25">
      <c r="A24" s="1" t="s">
        <v>49</v>
      </c>
      <c r="B24" t="s">
        <v>36</v>
      </c>
      <c r="C24" s="10">
        <f>C9-C$8</f>
        <v>1.6142499692978163</v>
      </c>
      <c r="D24" s="10">
        <f t="shared" ref="D24:Q24" si="10">D9-D$8</f>
        <v>-6.1910077193297184</v>
      </c>
      <c r="E24" s="10">
        <f t="shared" si="10"/>
        <v>-28.872142326620178</v>
      </c>
      <c r="F24" s="10">
        <f t="shared" si="10"/>
        <v>-4.5767577499973413</v>
      </c>
      <c r="G24" s="10">
        <f t="shared" si="10"/>
        <v>-27.257892357301898</v>
      </c>
      <c r="H24" s="10">
        <f t="shared" si="10"/>
        <v>2.153213113799211</v>
      </c>
      <c r="I24" s="10">
        <f t="shared" si="10"/>
        <v>-1.3454926949802939</v>
      </c>
      <c r="J24" s="10">
        <f t="shared" si="10"/>
        <v>-1.2696680153799207</v>
      </c>
      <c r="K24" s="10">
        <f t="shared" si="10"/>
        <v>0.80772041889940738</v>
      </c>
      <c r="L24" s="10">
        <f t="shared" si="10"/>
        <v>0.88354509840064566</v>
      </c>
      <c r="M24" s="10">
        <f t="shared" si="10"/>
        <v>3.7674630831024842</v>
      </c>
      <c r="N24" s="10">
        <f t="shared" si="10"/>
        <v>-7.5365004143113765</v>
      </c>
      <c r="O24" s="10">
        <f t="shared" si="10"/>
        <v>-30.141810341990094</v>
      </c>
      <c r="P24" s="10">
        <f t="shared" si="10"/>
        <v>-3.7690373311997973</v>
      </c>
      <c r="Q24" s="10">
        <f t="shared" si="10"/>
        <v>-26.374347258803027</v>
      </c>
    </row>
    <row r="25" spans="1:17" x14ac:dyDescent="0.25">
      <c r="A25" s="1" t="s">
        <v>49</v>
      </c>
      <c r="B25" t="s">
        <v>37</v>
      </c>
      <c r="C25" s="10">
        <f>C10-C$8</f>
        <v>-57.980379517401161</v>
      </c>
      <c r="D25" s="10">
        <f t="shared" ref="D25:Q25" si="11">D10-D$8</f>
        <v>1.4247196257902033</v>
      </c>
      <c r="E25" s="10">
        <f t="shared" si="11"/>
        <v>-26.718919598740285</v>
      </c>
      <c r="F25" s="10">
        <f t="shared" si="11"/>
        <v>-56.55565989149909</v>
      </c>
      <c r="G25" s="10">
        <f t="shared" si="11"/>
        <v>-84.699299116000475</v>
      </c>
      <c r="H25" s="10">
        <f t="shared" si="11"/>
        <v>-35.238884594200499</v>
      </c>
      <c r="I25" s="10">
        <f t="shared" si="11"/>
        <v>1.658375052249994</v>
      </c>
      <c r="J25" s="10">
        <f t="shared" si="11"/>
        <v>1.8543790645901481</v>
      </c>
      <c r="K25" s="10">
        <f t="shared" si="11"/>
        <v>-33.580509542000073</v>
      </c>
      <c r="L25" s="10">
        <f t="shared" si="11"/>
        <v>-33.384505529698799</v>
      </c>
      <c r="M25" s="10">
        <f t="shared" si="11"/>
        <v>-93.219264111598022</v>
      </c>
      <c r="N25" s="10">
        <f t="shared" si="11"/>
        <v>3.0830946780388331</v>
      </c>
      <c r="O25" s="10">
        <f t="shared" si="11"/>
        <v>-24.864540534150365</v>
      </c>
      <c r="P25" s="10">
        <f t="shared" si="11"/>
        <v>-90.136169433499163</v>
      </c>
      <c r="Q25" s="10">
        <f t="shared" si="11"/>
        <v>-118.08380464570655</v>
      </c>
    </row>
    <row r="26" spans="1:17" x14ac:dyDescent="0.25">
      <c r="A26" s="1" t="s">
        <v>49</v>
      </c>
      <c r="B26" t="s">
        <v>38</v>
      </c>
      <c r="C26" s="10">
        <f>C11-C$8</f>
        <v>-36.625164905301062</v>
      </c>
      <c r="D26" s="10">
        <f t="shared" ref="D26:Q26" si="12">D11-D$8</f>
        <v>-50.651829380150048</v>
      </c>
      <c r="E26" s="10">
        <f t="shared" si="12"/>
        <v>-129.53667525680021</v>
      </c>
      <c r="F26" s="10">
        <f t="shared" si="12"/>
        <v>-87.276994285399269</v>
      </c>
      <c r="G26" s="10">
        <f t="shared" si="12"/>
        <v>-166.16184016210173</v>
      </c>
      <c r="H26" s="10">
        <f t="shared" si="12"/>
        <v>-35.738043575200209</v>
      </c>
      <c r="I26" s="10">
        <f t="shared" si="12"/>
        <v>-33.061380994010051</v>
      </c>
      <c r="J26" s="10">
        <f t="shared" si="12"/>
        <v>-48.847691980589843</v>
      </c>
      <c r="K26" s="10">
        <f t="shared" si="12"/>
        <v>-68.799424569297116</v>
      </c>
      <c r="L26" s="10">
        <f t="shared" si="12"/>
        <v>-84.585735555898282</v>
      </c>
      <c r="M26" s="10">
        <f t="shared" si="12"/>
        <v>-72.363208480594039</v>
      </c>
      <c r="N26" s="10">
        <f t="shared" si="12"/>
        <v>-83.713210374160553</v>
      </c>
      <c r="O26" s="10">
        <f t="shared" si="12"/>
        <v>-178.38436723739051</v>
      </c>
      <c r="P26" s="10">
        <f t="shared" si="12"/>
        <v>-156.07641885480552</v>
      </c>
      <c r="Q26" s="10">
        <f t="shared" si="12"/>
        <v>-250.74757571800001</v>
      </c>
    </row>
    <row r="27" spans="1:17" x14ac:dyDescent="0.25">
      <c r="A27" s="1" t="s">
        <v>49</v>
      </c>
      <c r="B27" t="s">
        <v>39</v>
      </c>
      <c r="C27" s="10">
        <f>C12-C$8</f>
        <v>-39.604513173999294</v>
      </c>
      <c r="D27" s="10">
        <f t="shared" ref="D27:Q27" si="13">D12-D$8</f>
        <v>-41.223793531679803</v>
      </c>
      <c r="E27" s="10">
        <f t="shared" si="13"/>
        <v>-89.265829323419894</v>
      </c>
      <c r="F27" s="10">
        <f t="shared" si="13"/>
        <v>-80.828306705599971</v>
      </c>
      <c r="G27" s="10">
        <f t="shared" si="13"/>
        <v>-128.87034249729913</v>
      </c>
      <c r="H27" s="10">
        <f t="shared" si="13"/>
        <v>-37.11995971630131</v>
      </c>
      <c r="I27" s="10">
        <f t="shared" si="13"/>
        <v>-32.703702213379984</v>
      </c>
      <c r="J27" s="10">
        <f t="shared" si="13"/>
        <v>-50.067664963170046</v>
      </c>
      <c r="K27" s="10">
        <f t="shared" si="13"/>
        <v>-69.823661929600348</v>
      </c>
      <c r="L27" s="10">
        <f t="shared" si="13"/>
        <v>-87.187624679500004</v>
      </c>
      <c r="M27" s="10">
        <f t="shared" si="13"/>
        <v>-76.724472890200559</v>
      </c>
      <c r="N27" s="10">
        <f t="shared" si="13"/>
        <v>-73.927495745061606</v>
      </c>
      <c r="O27" s="10">
        <f t="shared" si="13"/>
        <v>-139.33349428659039</v>
      </c>
      <c r="P27" s="10">
        <f t="shared" si="13"/>
        <v>-150.65196863530582</v>
      </c>
      <c r="Q27" s="10">
        <f t="shared" si="13"/>
        <v>-216.05796717680641</v>
      </c>
    </row>
    <row r="28" spans="1:17" x14ac:dyDescent="0.25">
      <c r="A28" s="1" t="s">
        <v>49</v>
      </c>
      <c r="B28" t="s">
        <v>59</v>
      </c>
      <c r="C28" s="10">
        <f>C13-C$8</f>
        <v>-40.167364052402263</v>
      </c>
      <c r="D28" s="10">
        <f t="shared" ref="D28:Q28" si="14">D13-D$8</f>
        <v>-41.11896328262992</v>
      </c>
      <c r="E28" s="10">
        <f t="shared" si="14"/>
        <v>-90.1329601580901</v>
      </c>
      <c r="F28" s="10">
        <f t="shared" si="14"/>
        <v>-81.286327334899397</v>
      </c>
      <c r="G28" s="10">
        <f t="shared" si="14"/>
        <v>-130.30032421039868</v>
      </c>
      <c r="H28" s="10">
        <f t="shared" si="14"/>
        <v>-37.945700741700421</v>
      </c>
      <c r="I28" s="10">
        <f t="shared" si="14"/>
        <v>-34.751730275960199</v>
      </c>
      <c r="J28" s="10">
        <f t="shared" si="14"/>
        <v>-62.441503963269952</v>
      </c>
      <c r="K28" s="10">
        <f t="shared" si="14"/>
        <v>-72.69743101759741</v>
      </c>
      <c r="L28" s="10">
        <f t="shared" si="14"/>
        <v>-100.38720470499902</v>
      </c>
      <c r="M28" s="10">
        <f t="shared" si="14"/>
        <v>-78.11306479400082</v>
      </c>
      <c r="N28" s="10">
        <f t="shared" si="14"/>
        <v>-75.870693558590574</v>
      </c>
      <c r="O28" s="10">
        <f t="shared" si="14"/>
        <v>-152.57446412136051</v>
      </c>
      <c r="P28" s="10">
        <f t="shared" si="14"/>
        <v>-153.98375835260231</v>
      </c>
      <c r="Q28" s="10">
        <f t="shared" si="14"/>
        <v>-230.68752891540498</v>
      </c>
    </row>
    <row r="29" spans="1:17" x14ac:dyDescent="0.25">
      <c r="A29" s="1" t="s">
        <v>50</v>
      </c>
      <c r="B29" t="s">
        <v>36</v>
      </c>
      <c r="C29" s="9">
        <f>C24/C$8</f>
        <v>8.1276179877697778E-5</v>
      </c>
      <c r="D29" s="9">
        <f t="shared" ref="D29:Q29" si="15">D24/D$8</f>
        <v>-8.6081058832264249E-4</v>
      </c>
      <c r="E29" s="9">
        <f t="shared" si="15"/>
        <v>-7.8373426079847534E-3</v>
      </c>
      <c r="F29" s="9">
        <f t="shared" si="15"/>
        <v>-1.6917520792007521E-4</v>
      </c>
      <c r="G29" s="9">
        <f t="shared" si="15"/>
        <v>-1.1576830178098843E-3</v>
      </c>
      <c r="H29" s="9">
        <f t="shared" si="15"/>
        <v>1.4375451870572462E-4</v>
      </c>
      <c r="I29" s="9">
        <f t="shared" si="15"/>
        <v>-5.9404320876811406E-4</v>
      </c>
      <c r="J29" s="9">
        <f t="shared" si="15"/>
        <v>-7.9104288245333528E-4</v>
      </c>
      <c r="K29" s="9">
        <f t="shared" si="15"/>
        <v>4.6842355623113629E-5</v>
      </c>
      <c r="L29" s="9">
        <f t="shared" si="15"/>
        <v>5.3278698125138489E-5</v>
      </c>
      <c r="M29" s="9">
        <f t="shared" si="15"/>
        <v>1.0813708461133924E-4</v>
      </c>
      <c r="N29" s="9">
        <f t="shared" si="15"/>
        <v>-7.9691943569814325E-4</v>
      </c>
      <c r="O29" s="9">
        <f t="shared" si="15"/>
        <v>-5.6989881880150119E-3</v>
      </c>
      <c r="P29" s="9">
        <f t="shared" si="15"/>
        <v>-8.508611636779072E-5</v>
      </c>
      <c r="Q29" s="9">
        <f t="shared" si="15"/>
        <v>-6.5724447231389261E-4</v>
      </c>
    </row>
    <row r="30" spans="1:17" x14ac:dyDescent="0.25">
      <c r="A30" s="1" t="s">
        <v>50</v>
      </c>
      <c r="B30" t="s">
        <v>37</v>
      </c>
      <c r="C30" s="9">
        <f t="shared" ref="C30:Q33" si="16">C25/C$8</f>
        <v>-2.9192651972503002E-3</v>
      </c>
      <c r="D30" s="9">
        <f t="shared" si="16"/>
        <v>1.9809597966452869E-4</v>
      </c>
      <c r="E30" s="9">
        <f t="shared" si="16"/>
        <v>-7.2528503303149056E-3</v>
      </c>
      <c r="F30" s="9">
        <f t="shared" si="16"/>
        <v>-2.0905226022082937E-3</v>
      </c>
      <c r="G30" s="9">
        <f t="shared" si="16"/>
        <v>-3.5973045502443752E-3</v>
      </c>
      <c r="H30" s="9">
        <f t="shared" si="16"/>
        <v>-2.3526463135958089E-3</v>
      </c>
      <c r="I30" s="9">
        <f t="shared" si="16"/>
        <v>7.321826726038106E-4</v>
      </c>
      <c r="J30" s="9">
        <f t="shared" si="16"/>
        <v>1.1553361529514266E-3</v>
      </c>
      <c r="K30" s="9">
        <f t="shared" si="16"/>
        <v>-1.9474438594917166E-3</v>
      </c>
      <c r="L30" s="9">
        <f t="shared" si="16"/>
        <v>-2.0131207737935871E-3</v>
      </c>
      <c r="M30" s="9">
        <f t="shared" si="16"/>
        <v>-2.6756624360447494E-3</v>
      </c>
      <c r="N30" s="9">
        <f t="shared" si="16"/>
        <v>3.2601047382164235E-4</v>
      </c>
      <c r="O30" s="9">
        <f t="shared" si="16"/>
        <v>-4.7012014605884341E-3</v>
      </c>
      <c r="P30" s="9">
        <f t="shared" si="16"/>
        <v>-2.0348263833524383E-3</v>
      </c>
      <c r="Q30" s="9">
        <f t="shared" si="16"/>
        <v>-2.9426293326474703E-3</v>
      </c>
    </row>
    <row r="31" spans="1:17" x14ac:dyDescent="0.25">
      <c r="A31" s="1" t="s">
        <v>50</v>
      </c>
      <c r="B31" t="s">
        <v>38</v>
      </c>
      <c r="C31" s="9">
        <f t="shared" si="16"/>
        <v>-1.8440474198605393E-3</v>
      </c>
      <c r="D31" s="9">
        <f t="shared" si="16"/>
        <v>-7.0427356942571687E-3</v>
      </c>
      <c r="E31" s="9">
        <f t="shared" si="16"/>
        <v>-3.5162728584597153E-2</v>
      </c>
      <c r="F31" s="9">
        <f t="shared" si="16"/>
        <v>-3.2261055667366736E-3</v>
      </c>
      <c r="G31" s="9">
        <f t="shared" si="16"/>
        <v>-7.0571391963170273E-3</v>
      </c>
      <c r="H31" s="9">
        <f t="shared" si="16"/>
        <v>-2.3859715606934563E-3</v>
      </c>
      <c r="I31" s="9">
        <f t="shared" si="16"/>
        <v>-1.4596800804090964E-2</v>
      </c>
      <c r="J31" s="9">
        <f t="shared" si="16"/>
        <v>-3.0433639815645893E-2</v>
      </c>
      <c r="K31" s="9">
        <f t="shared" si="16"/>
        <v>-3.9899042254396095E-3</v>
      </c>
      <c r="L31" s="9">
        <f t="shared" si="16"/>
        <v>-5.1006087618313753E-3</v>
      </c>
      <c r="M31" s="9">
        <f t="shared" si="16"/>
        <v>-2.0770333313445545E-3</v>
      </c>
      <c r="N31" s="9">
        <f t="shared" si="16"/>
        <v>-8.8519446300530241E-3</v>
      </c>
      <c r="O31" s="9">
        <f t="shared" si="16"/>
        <v>-3.3727582725719574E-2</v>
      </c>
      <c r="P31" s="9">
        <f t="shared" si="16"/>
        <v>-3.5234292393491965E-3</v>
      </c>
      <c r="Q31" s="9">
        <f t="shared" si="16"/>
        <v>-6.2485890729204021E-3</v>
      </c>
    </row>
    <row r="32" spans="1:17" x14ac:dyDescent="0.25">
      <c r="A32" s="1" t="s">
        <v>50</v>
      </c>
      <c r="B32" t="s">
        <v>39</v>
      </c>
      <c r="C32" s="9">
        <f t="shared" si="16"/>
        <v>-1.9940551946231789E-3</v>
      </c>
      <c r="D32" s="9">
        <f t="shared" si="16"/>
        <v>-5.7318419830266962E-3</v>
      </c>
      <c r="E32" s="9">
        <f t="shared" si="16"/>
        <v>-2.423120805096941E-2</v>
      </c>
      <c r="F32" s="9">
        <f t="shared" si="16"/>
        <v>-2.9877363713986015E-3</v>
      </c>
      <c r="G32" s="9">
        <f t="shared" si="16"/>
        <v>-5.4733141158839838E-3</v>
      </c>
      <c r="H32" s="9">
        <f t="shared" si="16"/>
        <v>-2.4782321402350435E-3</v>
      </c>
      <c r="I32" s="9">
        <f t="shared" si="16"/>
        <v>-1.4438883446868252E-2</v>
      </c>
      <c r="J32" s="9">
        <f t="shared" si="16"/>
        <v>-3.1193721138452681E-2</v>
      </c>
      <c r="K32" s="9">
        <f t="shared" si="16"/>
        <v>-4.0493031084580392E-3</v>
      </c>
      <c r="L32" s="9">
        <f t="shared" si="16"/>
        <v>-5.257505410822344E-3</v>
      </c>
      <c r="M32" s="9">
        <f t="shared" si="16"/>
        <v>-2.2022142310829723E-3</v>
      </c>
      <c r="N32" s="9">
        <f t="shared" si="16"/>
        <v>-7.8171903341047559E-3</v>
      </c>
      <c r="O32" s="9">
        <f t="shared" si="16"/>
        <v>-2.6344135575292339E-2</v>
      </c>
      <c r="P32" s="9">
        <f t="shared" si="16"/>
        <v>-3.4009721337145554E-3</v>
      </c>
      <c r="Q32" s="9">
        <f t="shared" si="16"/>
        <v>-5.3841296329688627E-3</v>
      </c>
    </row>
    <row r="33" spans="1:17" x14ac:dyDescent="0.25">
      <c r="A33" s="1" t="s">
        <v>50</v>
      </c>
      <c r="B33" t="s">
        <v>59</v>
      </c>
      <c r="C33" s="9">
        <f>C28/C$8</f>
        <v>-2.0223942809527262E-3</v>
      </c>
      <c r="D33" s="9">
        <f t="shared" si="16"/>
        <v>-5.7172661671903028E-3</v>
      </c>
      <c r="E33" s="9">
        <f t="shared" si="16"/>
        <v>-2.4466590703229069E-2</v>
      </c>
      <c r="F33" s="9">
        <f t="shared" si="16"/>
        <v>-3.0046666393800034E-3</v>
      </c>
      <c r="G33" s="9">
        <f t="shared" si="16"/>
        <v>-5.53404755496775E-3</v>
      </c>
      <c r="H33" s="9">
        <f t="shared" si="16"/>
        <v>-2.5333609163515772E-3</v>
      </c>
      <c r="I33" s="9">
        <f t="shared" si="16"/>
        <v>-1.534310029359005E-2</v>
      </c>
      <c r="J33" s="9">
        <f t="shared" si="16"/>
        <v>-3.8903009827373151E-2</v>
      </c>
      <c r="K33" s="9">
        <f t="shared" si="16"/>
        <v>-4.2159624010163401E-3</v>
      </c>
      <c r="L33" s="9">
        <f t="shared" si="16"/>
        <v>-6.0534539603985613E-3</v>
      </c>
      <c r="M33" s="9">
        <f t="shared" si="16"/>
        <v>-2.2420708340223209E-3</v>
      </c>
      <c r="N33" s="9">
        <f t="shared" si="16"/>
        <v>-8.0226666188358917E-3</v>
      </c>
      <c r="O33" s="9">
        <f t="shared" si="16"/>
        <v>-2.884763917477905E-2</v>
      </c>
      <c r="P33" s="9">
        <f t="shared" si="16"/>
        <v>-3.4761873737580002E-3</v>
      </c>
      <c r="Q33" s="9">
        <f t="shared" si="16"/>
        <v>-5.7486959477564045E-3</v>
      </c>
    </row>
  </sheetData>
  <autoFilter ref="A7:Q7" xr:uid="{12046548-4EE5-4815-9474-06C51C027578}"/>
  <conditionalFormatting sqref="C19:Q23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29:Q33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19EC4106DC9F4690841EE5A8E3F649" ma:contentTypeVersion="13" ma:contentTypeDescription="Een nieuw document maken." ma:contentTypeScope="" ma:versionID="3b5ed1831834ba5c3125960feac1bbc1">
  <xsd:schema xmlns:xsd="http://www.w3.org/2001/XMLSchema" xmlns:xs="http://www.w3.org/2001/XMLSchema" xmlns:p="http://schemas.microsoft.com/office/2006/metadata/properties" xmlns:ns2="1c79f8b7-d622-42ea-86ff-b795f6d33aee" xmlns:ns3="1f76098b-bbfc-4df3-8248-9e041eacd3ff" targetNamespace="http://schemas.microsoft.com/office/2006/metadata/properties" ma:root="true" ma:fieldsID="92e67fa49637dff04c9d2b3d4504bbd0" ns2:_="" ns3:_="">
    <xsd:import namespace="1c79f8b7-d622-42ea-86ff-b795f6d33aee"/>
    <xsd:import namespace="1f76098b-bbfc-4df3-8248-9e041eacd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9f8b7-d622-42ea-86ff-b795f6d33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Afbeeldingtags" ma:readOnly="false" ma:fieldId="{5cf76f15-5ced-4ddc-b409-7134ff3c332f}" ma:taxonomyMulti="true" ma:sspId="dd95bb29-7160-4731-9aff-54176445f1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6098b-bbfc-4df3-8248-9e041eacd3f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e42499f-55be-43e7-a173-294cbbf0aa03}" ma:internalName="TaxCatchAll" ma:showField="CatchAllData" ma:web="1f76098b-bbfc-4df3-8248-9e041eacd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76098b-bbfc-4df3-8248-9e041eacd3ff" xsi:nil="true"/>
    <lcf76f155ced4ddcb4097134ff3c332f xmlns="1c79f8b7-d622-42ea-86ff-b795f6d33ae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9904870-C79A-49DC-BDD8-56CD61F05B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79f8b7-d622-42ea-86ff-b795f6d33aee"/>
    <ds:schemaRef ds:uri="1f76098b-bbfc-4df3-8248-9e041eacd3f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5D572B7-0B12-4EE6-AA7A-FA533540DC2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6A163D-2E91-4816-80E8-A7D9B8F0D8D6}">
  <ds:schemaRefs>
    <ds:schemaRef ds:uri="http://schemas.microsoft.com/office/2006/metadata/properties"/>
    <ds:schemaRef ds:uri="http://schemas.microsoft.com/office/infopath/2007/PartnerControls"/>
    <ds:schemaRef ds:uri="1f76098b-bbfc-4df3-8248-9e041eacd3ff"/>
    <ds:schemaRef ds:uri="1c79f8b7-d622-42ea-86ff-b795f6d33ae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Factoren</vt:lpstr>
      <vt:lpstr>CW portefeuille</vt:lpstr>
      <vt:lpstr>CW Premieportefeuille</vt:lpstr>
    </vt:vector>
  </TitlesOfParts>
  <Company>Sprenkels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Tesselaar</dc:creator>
  <cp:lastModifiedBy>Frank Tesselaar</cp:lastModifiedBy>
  <dcterms:created xsi:type="dcterms:W3CDTF">2026-04-03T15:16:40Z</dcterms:created>
  <dcterms:modified xsi:type="dcterms:W3CDTF">2026-04-29T19:41:42Z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0x010100B319EC4106DC9F4690841EE5A8E3F649</vt:lpwstr>
  </property>
</Properties>
</file>