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renkels-my.sharepoint.com/personal/frank_tesselaar_sprenkels_nl/Documents/Documenten/3. Prognosetafels werkmap/Deelopdracht 7/"/>
    </mc:Choice>
  </mc:AlternateContent>
  <xr:revisionPtr revIDLastSave="36" documentId="14_{717BACBC-2960-4A51-8EF4-E025E7509205}" xr6:coauthVersionLast="47" xr6:coauthVersionMax="47" xr10:uidLastSave="{75EEFCE9-6D50-41E6-B885-270EB2C84092}"/>
  <bookViews>
    <workbookView xWindow="-120" yWindow="-120" windowWidth="29040" windowHeight="15720" xr2:uid="{DD5D71FC-D257-4649-82DC-BD9655683978}"/>
  </bookViews>
  <sheets>
    <sheet name="Parameterwaarden 2024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 a="1"/>
  <c r="G10" i="2" s="1"/>
  <c r="H60" i="2"/>
  <c r="H61" i="2" s="1"/>
  <c r="R102" i="2"/>
  <c r="R103" i="2" s="1"/>
  <c r="R104" i="2" s="1"/>
  <c r="R105" i="2" s="1"/>
  <c r="R106" i="2" s="1"/>
  <c r="R107" i="2" s="1"/>
  <c r="R108" i="2" s="1"/>
  <c r="R109" i="2" s="1"/>
  <c r="R110" i="2" s="1"/>
  <c r="R111" i="2" s="1"/>
  <c r="R112" i="2" s="1"/>
  <c r="R113" i="2" s="1"/>
  <c r="R114" i="2" s="1"/>
  <c r="R115" i="2" s="1"/>
  <c r="R116" i="2" s="1"/>
  <c r="R117" i="2" s="1"/>
  <c r="R118" i="2" s="1"/>
  <c r="R119" i="2" s="1"/>
  <c r="R120" i="2" s="1"/>
  <c r="R121" i="2" s="1"/>
  <c r="R122" i="2" s="1"/>
  <c r="R123" i="2" s="1"/>
  <c r="R124" i="2" s="1"/>
  <c r="R125" i="2" s="1"/>
  <c r="R126" i="2" s="1"/>
  <c r="R127" i="2" s="1"/>
  <c r="R128" i="2" s="1"/>
  <c r="R129" i="2" s="1"/>
  <c r="R130" i="2" s="1"/>
  <c r="M102" i="2"/>
  <c r="M103" i="2" s="1"/>
  <c r="M104" i="2" s="1"/>
  <c r="M105" i="2" s="1"/>
  <c r="M106" i="2" s="1"/>
  <c r="M107" i="2" s="1"/>
  <c r="M108" i="2" s="1"/>
  <c r="M109" i="2" s="1"/>
  <c r="M110" i="2" s="1"/>
  <c r="M111" i="2" s="1"/>
  <c r="M112" i="2" s="1"/>
  <c r="M113" i="2" s="1"/>
  <c r="M114" i="2" s="1"/>
  <c r="M115" i="2" s="1"/>
  <c r="M116" i="2" s="1"/>
  <c r="M117" i="2" s="1"/>
  <c r="M118" i="2" s="1"/>
  <c r="M119" i="2" s="1"/>
  <c r="M120" i="2" s="1"/>
  <c r="M121" i="2" s="1"/>
  <c r="M122" i="2" s="1"/>
  <c r="M123" i="2" s="1"/>
  <c r="M124" i="2" s="1"/>
  <c r="M125" i="2" s="1"/>
  <c r="M126" i="2" s="1"/>
  <c r="M127" i="2" s="1"/>
  <c r="M128" i="2" s="1"/>
  <c r="M129" i="2" s="1"/>
  <c r="M130" i="2" s="1"/>
  <c r="R101" i="2"/>
  <c r="M101" i="2"/>
  <c r="A101" i="2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T60" i="2"/>
  <c r="T61" i="2" s="1"/>
  <c r="T62" i="2" s="1"/>
  <c r="T63" i="2" s="1"/>
  <c r="H59" i="2"/>
  <c r="Z19" i="2" a="1"/>
  <c r="Z21" i="2" s="1"/>
  <c r="H62" i="2" l="1"/>
  <c r="H63" i="2" s="1"/>
  <c r="AC21" i="2"/>
  <c r="AA21" i="2"/>
  <c r="AB19" i="2"/>
  <c r="AB21" i="2"/>
  <c r="AC19" i="2"/>
  <c r="Z20" i="2"/>
  <c r="Z22" i="2"/>
  <c r="AC20" i="2"/>
  <c r="AC22" i="2"/>
  <c r="AA19" i="2"/>
  <c r="AA20" i="2"/>
  <c r="AA22" i="2"/>
  <c r="AB20" i="2"/>
  <c r="AB22" i="2"/>
  <c r="Z1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<sst xmlns="http://schemas.openxmlformats.org/spreadsheetml/2006/main" count="48" uniqueCount="22">
  <si>
    <t>Mannen</t>
  </si>
  <si>
    <t>Vrouwen</t>
  </si>
  <si>
    <t>Covariantiematrix C</t>
  </si>
  <si>
    <t>x</t>
  </si>
  <si>
    <t>A(x)</t>
  </si>
  <si>
    <t>B(x)</t>
  </si>
  <si>
    <t>alpa(x)</t>
  </si>
  <si>
    <t>beta(x)</t>
  </si>
  <si>
    <t>frak-beta(x)</t>
  </si>
  <si>
    <t>t</t>
  </si>
  <si>
    <t>K(t)</t>
  </si>
  <si>
    <t>kappa(t)</t>
  </si>
  <si>
    <t>frak-kappa(t)</t>
  </si>
  <si>
    <t>epsilon mannen</t>
  </si>
  <si>
    <t>delta mannen</t>
  </si>
  <si>
    <t>epsilon vrouwen</t>
  </si>
  <si>
    <t>delta vrouwen</t>
  </si>
  <si>
    <t>Cholesky matrix H</t>
  </si>
  <si>
    <t>theta</t>
  </si>
  <si>
    <t>a</t>
  </si>
  <si>
    <t>c</t>
  </si>
  <si>
    <t>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</si>
</sst>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%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b/>
      <sz val="16"/>
      <color theme="1"/>
      <name val="Verdana"/>
      <family val="2"/>
    </font>
    <font>
      <sz val="11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808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5" fillId="0" borderId="0"/>
    <xf numFmtId="0" fontId="6" fillId="0" borderId="0"/>
    <xf numFmtId="9" fontId="7" fillId="0" borderId="0" applyFont="0" applyFill="0" applyBorder="0" applyAlignment="0" applyProtection="0"/>
  </cellStyleXfs>
  <cellXfs count="17">
    <xf numFmtId="0" fontId="0" fillId="0" borderId="0" xfId="0"/>
    <xf numFmtId="0" fontId="4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/>
    </xf>
    <xf numFmtId="0" fontId="3" fillId="3" borderId="1" xfId="0" applyFont="1" applyFill="1" applyBorder="1"/>
    <xf numFmtId="164" fontId="3" fillId="3" borderId="1" xfId="0" applyNumberFormat="1" applyFont="1" applyFill="1" applyBorder="1"/>
    <xf numFmtId="0" fontId="3" fillId="3" borderId="1" xfId="0" applyFont="1" applyFill="1" applyBorder="1" applyAlignment="1">
      <alignment horizontal="right"/>
    </xf>
    <xf numFmtId="0" fontId="2" fillId="2" borderId="0" xfId="0" applyFont="1" applyFill="1"/>
    <xf numFmtId="0" fontId="4" fillId="0" borderId="0" xfId="0" applyFont="1"/>
    <xf numFmtId="0" fontId="6" fillId="0" borderId="0" xfId="2"/>
    <xf numFmtId="164" fontId="3" fillId="0" borderId="0" xfId="0" applyNumberFormat="1" applyFont="1"/>
    <xf numFmtId="165" fontId="1" fillId="0" borderId="0" xfId="3" applyNumberFormat="1" applyFont="1"/>
    <xf numFmtId="0" fontId="4" fillId="2" borderId="0" xfId="0" applyFont="1" applyFill="1" applyAlignment="1">
      <alignment horizontal="center"/>
    </xf>
  </cellXfs>
  <cellStyles count="4">
    <cellStyle name="Normal" xfId="0" builtinId="0"/>
    <cellStyle name="Normal 2" xfId="1" xr:uid="{3A2C0FD1-6DC3-470A-8B27-53824C3B18FA}"/>
    <cellStyle name="Normal 3" xfId="2" xr:uid="{6F7ABF4D-23A7-417A-96F4-EC45BFA3C7CD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449036</xdr:colOff>
      <xdr:row>22</xdr:row>
      <xdr:rowOff>136072</xdr:rowOff>
    </xdr:from>
    <xdr:to>
      <xdr:col>28</xdr:col>
      <xdr:colOff>616584</xdr:colOff>
      <xdr:row>33</xdr:row>
      <xdr:rowOff>88569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AC4E3E-C3EC-46C3-BB11-2B615558EA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954456" y="3885112"/>
          <a:ext cx="5109753" cy="1961002"/>
        </a:xfrm>
        <a:prstGeom prst="rect">
          <a:avLst/>
        </a:prstGeom>
      </xdr:spPr>
    </xdr:pic>
    <xdr:clientData/>
  </xdr:twoCellAnchor>
  <xdr:twoCellAnchor editAs="oneCell">
    <xdr:from>
      <xdr:col>23</xdr:col>
      <xdr:colOff>449036</xdr:colOff>
      <xdr:row>22</xdr:row>
      <xdr:rowOff>136072</xdr:rowOff>
    </xdr:from>
    <xdr:to>
      <xdr:col>28</xdr:col>
      <xdr:colOff>617038</xdr:colOff>
      <xdr:row>37</xdr:row>
      <xdr:rowOff>10610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BF001F-8B92-4323-B9D1-69AFC4D1F3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954456" y="3885112"/>
          <a:ext cx="5116557" cy="2620913"/>
        </a:xfrm>
        <a:prstGeom prst="rect">
          <a:avLst/>
        </a:prstGeom>
      </xdr:spPr>
    </xdr:pic>
    <xdr:clientData/>
  </xdr:twoCellAnchor>
  <xdr:twoCellAnchor editAs="oneCell">
    <xdr:from>
      <xdr:col>23</xdr:col>
      <xdr:colOff>449036</xdr:colOff>
      <xdr:row>22</xdr:row>
      <xdr:rowOff>136072</xdr:rowOff>
    </xdr:from>
    <xdr:to>
      <xdr:col>28</xdr:col>
      <xdr:colOff>616585</xdr:colOff>
      <xdr:row>37</xdr:row>
      <xdr:rowOff>178427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C4C2493-E7AB-45FB-891E-ADB1203BA2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954456" y="3885112"/>
          <a:ext cx="5109754" cy="279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kt\Downloads\AG2024%20(3).xlsx" TargetMode="External"/><Relationship Id="rId1" Type="http://schemas.openxmlformats.org/officeDocument/2006/relationships/externalLinkPath" Target="file:///C:\Users\frankt\Downloads\AG2024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oorblad"/>
      <sheetName val="Parameterwaarden 2024"/>
      <sheetName val="qx mannen 2024"/>
      <sheetName val="qx vrouwen 2024"/>
    </sheetNames>
    <sheetDataSet>
      <sheetData sheetId="0"/>
      <sheetData sheetId="1">
        <row r="10">
          <cell r="F10">
            <v>0</v>
          </cell>
        </row>
        <row r="11">
          <cell r="F11">
            <v>0</v>
          </cell>
        </row>
        <row r="12">
          <cell r="F12">
            <v>0</v>
          </cell>
        </row>
        <row r="13">
          <cell r="F13">
            <v>0</v>
          </cell>
        </row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0</v>
          </cell>
        </row>
        <row r="19">
          <cell r="F19">
            <v>0</v>
          </cell>
        </row>
        <row r="20">
          <cell r="F20">
            <v>0</v>
          </cell>
        </row>
        <row r="21">
          <cell r="F21">
            <v>0</v>
          </cell>
        </row>
        <row r="22">
          <cell r="F22">
            <v>0</v>
          </cell>
        </row>
        <row r="23">
          <cell r="F23">
            <v>0</v>
          </cell>
        </row>
        <row r="24">
          <cell r="F24">
            <v>0</v>
          </cell>
        </row>
        <row r="25">
          <cell r="F25">
            <v>0</v>
          </cell>
        </row>
        <row r="26">
          <cell r="F26">
            <v>0</v>
          </cell>
        </row>
        <row r="27">
          <cell r="F27">
            <v>0</v>
          </cell>
        </row>
        <row r="28">
          <cell r="F28">
            <v>0</v>
          </cell>
        </row>
        <row r="29">
          <cell r="F29">
            <v>0</v>
          </cell>
        </row>
        <row r="30">
          <cell r="F30">
            <v>0</v>
          </cell>
        </row>
        <row r="31">
          <cell r="F31">
            <v>0</v>
          </cell>
        </row>
        <row r="32">
          <cell r="F32">
            <v>0</v>
          </cell>
        </row>
        <row r="33">
          <cell r="F33">
            <v>0</v>
          </cell>
        </row>
        <row r="34">
          <cell r="F34">
            <v>0</v>
          </cell>
        </row>
        <row r="35">
          <cell r="F35">
            <v>0</v>
          </cell>
        </row>
        <row r="36">
          <cell r="F36">
            <v>0</v>
          </cell>
        </row>
        <row r="37">
          <cell r="F37">
            <v>0</v>
          </cell>
        </row>
        <row r="38">
          <cell r="F38">
            <v>0</v>
          </cell>
        </row>
        <row r="39">
          <cell r="F39">
            <v>0</v>
          </cell>
        </row>
        <row r="40">
          <cell r="F40">
            <v>0</v>
          </cell>
        </row>
        <row r="41">
          <cell r="F41">
            <v>0</v>
          </cell>
        </row>
        <row r="42">
          <cell r="F42">
            <v>0</v>
          </cell>
        </row>
        <row r="43">
          <cell r="F43">
            <v>0</v>
          </cell>
        </row>
        <row r="44">
          <cell r="F44">
            <v>0</v>
          </cell>
        </row>
        <row r="45">
          <cell r="F45">
            <v>0</v>
          </cell>
        </row>
        <row r="46">
          <cell r="F46">
            <v>0</v>
          </cell>
        </row>
        <row r="47">
          <cell r="F47">
            <v>0</v>
          </cell>
        </row>
        <row r="48">
          <cell r="F48">
            <v>0</v>
          </cell>
        </row>
        <row r="49">
          <cell r="F49">
            <v>0</v>
          </cell>
        </row>
        <row r="50">
          <cell r="F50">
            <v>0</v>
          </cell>
        </row>
        <row r="51">
          <cell r="F51">
            <v>0</v>
          </cell>
        </row>
        <row r="52">
          <cell r="F52">
            <v>0</v>
          </cell>
        </row>
        <row r="53">
          <cell r="F53">
            <v>0</v>
          </cell>
        </row>
        <row r="54">
          <cell r="F54">
            <v>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0</v>
          </cell>
        </row>
        <row r="58">
          <cell r="F58">
            <v>0</v>
          </cell>
        </row>
        <row r="59">
          <cell r="F59">
            <v>0</v>
          </cell>
        </row>
        <row r="60">
          <cell r="F60">
            <v>0</v>
          </cell>
        </row>
        <row r="61">
          <cell r="F61">
            <v>0</v>
          </cell>
        </row>
        <row r="62">
          <cell r="F62">
            <v>0</v>
          </cell>
        </row>
        <row r="63">
          <cell r="F63">
            <v>0</v>
          </cell>
        </row>
        <row r="64">
          <cell r="F64">
            <v>0</v>
          </cell>
        </row>
        <row r="65">
          <cell r="F65">
            <v>2.6478579690840099E-2</v>
          </cell>
        </row>
        <row r="66">
          <cell r="F66">
            <v>4.8662247803845397E-3</v>
          </cell>
        </row>
        <row r="67">
          <cell r="F67">
            <v>-2.0091371552068498E-3</v>
          </cell>
        </row>
        <row r="68">
          <cell r="F68">
            <v>1.6924786264428501E-2</v>
          </cell>
        </row>
        <row r="69">
          <cell r="F69">
            <v>1.3712542439181001E-4</v>
          </cell>
        </row>
        <row r="70">
          <cell r="F70">
            <v>3.5763929344836499E-2</v>
          </cell>
        </row>
        <row r="71">
          <cell r="F71">
            <v>-5.9725559159481698E-3</v>
          </cell>
        </row>
        <row r="72">
          <cell r="F72">
            <v>1.4149042161397901E-2</v>
          </cell>
        </row>
        <row r="73">
          <cell r="F73">
            <v>1.47380898850029E-2</v>
          </cell>
        </row>
        <row r="74">
          <cell r="F74">
            <v>2.1239828851158198E-2</v>
          </cell>
        </row>
        <row r="75">
          <cell r="F75">
            <v>1.56492789016788E-2</v>
          </cell>
        </row>
        <row r="76">
          <cell r="F76">
            <v>6.8262745136313903E-4</v>
          </cell>
        </row>
        <row r="77">
          <cell r="F77">
            <v>3.70682207079122E-2</v>
          </cell>
        </row>
        <row r="78">
          <cell r="F78">
            <v>3.0156820646169102E-2</v>
          </cell>
        </row>
        <row r="79">
          <cell r="F79">
            <v>3.41884383255368E-2</v>
          </cell>
        </row>
        <row r="80">
          <cell r="F80">
            <v>4.32742026792493E-2</v>
          </cell>
        </row>
        <row r="81">
          <cell r="F81">
            <v>3.7717984299683802E-2</v>
          </cell>
        </row>
        <row r="82">
          <cell r="F82">
            <v>2.21822043054055E-2</v>
          </cell>
        </row>
        <row r="83">
          <cell r="F83">
            <v>2.2764952053808601E-2</v>
          </cell>
        </row>
        <row r="84">
          <cell r="F84">
            <v>4.9646927820573797E-2</v>
          </cell>
        </row>
        <row r="85">
          <cell r="F85">
            <v>1.6233600863113699E-2</v>
          </cell>
        </row>
        <row r="86">
          <cell r="F86">
            <v>3.6173834835375701E-2</v>
          </cell>
        </row>
        <row r="87">
          <cell r="F87">
            <v>2.9741388676124501E-2</v>
          </cell>
        </row>
        <row r="88">
          <cell r="F88">
            <v>2.3820718054414099E-2</v>
          </cell>
        </row>
        <row r="89">
          <cell r="F89">
            <v>2.65498110148201E-2</v>
          </cell>
        </row>
        <row r="90">
          <cell r="F90">
            <v>2.85638591594163E-2</v>
          </cell>
        </row>
        <row r="91">
          <cell r="F91">
            <v>2.0397925613588701E-2</v>
          </cell>
        </row>
        <row r="92">
          <cell r="F92">
            <v>2.98745960150903E-2</v>
          </cell>
        </row>
        <row r="93">
          <cell r="F93">
            <v>2.8466250179513802E-2</v>
          </cell>
        </row>
        <row r="94">
          <cell r="F94">
            <v>3.0354832972696401E-2</v>
          </cell>
        </row>
        <row r="95">
          <cell r="F95">
            <v>2.66465676568453E-2</v>
          </cell>
        </row>
        <row r="96">
          <cell r="F96">
            <v>4.2951608794242598E-2</v>
          </cell>
        </row>
        <row r="97">
          <cell r="F97">
            <v>4.0213760946575E-2</v>
          </cell>
        </row>
        <row r="98">
          <cell r="F98">
            <v>4.7853069908465197E-2</v>
          </cell>
        </row>
        <row r="99">
          <cell r="F99">
            <v>7.1674940922062502E-2</v>
          </cell>
        </row>
        <row r="100">
          <cell r="F100">
            <v>8.0835663864989304E-2</v>
          </cell>
        </row>
        <row r="101">
          <cell r="F101">
            <v>8.0835663864989304E-2</v>
          </cell>
        </row>
        <row r="102">
          <cell r="F102">
            <v>8.0835663864989304E-2</v>
          </cell>
        </row>
        <row r="103">
          <cell r="F103">
            <v>8.0835663864989304E-2</v>
          </cell>
        </row>
        <row r="104">
          <cell r="F104">
            <v>8.0835663864989304E-2</v>
          </cell>
        </row>
        <row r="105">
          <cell r="F105">
            <v>8.0835663864989304E-2</v>
          </cell>
        </row>
        <row r="106">
          <cell r="F106">
            <v>8.0835663864989304E-2</v>
          </cell>
        </row>
        <row r="107">
          <cell r="F107">
            <v>8.0835663864989304E-2</v>
          </cell>
        </row>
        <row r="108">
          <cell r="F108">
            <v>8.0835663864989304E-2</v>
          </cell>
        </row>
        <row r="109">
          <cell r="F109">
            <v>8.0835663864989304E-2</v>
          </cell>
        </row>
        <row r="110">
          <cell r="F110">
            <v>8.0835663864989304E-2</v>
          </cell>
        </row>
        <row r="111">
          <cell r="F111">
            <v>8.0835663864989304E-2</v>
          </cell>
        </row>
        <row r="112">
          <cell r="F112">
            <v>8.0835663864989304E-2</v>
          </cell>
        </row>
        <row r="113">
          <cell r="F113">
            <v>8.0835663864989304E-2</v>
          </cell>
        </row>
        <row r="114">
          <cell r="F114">
            <v>8.0835663864989304E-2</v>
          </cell>
        </row>
        <row r="115">
          <cell r="F115">
            <v>8.0835663864989304E-2</v>
          </cell>
        </row>
        <row r="116">
          <cell r="F116">
            <v>8.0835663864989304E-2</v>
          </cell>
        </row>
        <row r="117">
          <cell r="F117">
            <v>8.0835663864989304E-2</v>
          </cell>
        </row>
        <row r="118">
          <cell r="F118">
            <v>8.0835663864989304E-2</v>
          </cell>
        </row>
        <row r="119">
          <cell r="F119">
            <v>8.0835663864989304E-2</v>
          </cell>
        </row>
        <row r="120">
          <cell r="F120">
            <v>8.0835663864989304E-2</v>
          </cell>
        </row>
        <row r="121">
          <cell r="F121">
            <v>8.0835663864989304E-2</v>
          </cell>
        </row>
        <row r="122">
          <cell r="F122">
            <v>8.0835663864989304E-2</v>
          </cell>
        </row>
        <row r="123">
          <cell r="F123">
            <v>8.0835663864989304E-2</v>
          </cell>
        </row>
        <row r="124">
          <cell r="F124">
            <v>8.0835663864989304E-2</v>
          </cell>
        </row>
        <row r="125">
          <cell r="F125">
            <v>8.0835663864989304E-2</v>
          </cell>
        </row>
        <row r="126">
          <cell r="F126">
            <v>8.0835663864989304E-2</v>
          </cell>
        </row>
        <row r="127">
          <cell r="F127">
            <v>8.0835663864989304E-2</v>
          </cell>
        </row>
        <row r="128">
          <cell r="F128">
            <v>8.0835663864989304E-2</v>
          </cell>
        </row>
        <row r="129">
          <cell r="F129">
            <v>8.0835663864989304E-2</v>
          </cell>
        </row>
        <row r="130">
          <cell r="F130">
            <v>8.0835663864989304E-2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C1CF0-E0FC-4084-8DFA-46519D8B90D0}">
  <dimension ref="A8:AF130"/>
  <sheetViews>
    <sheetView tabSelected="1" topLeftCell="E39" workbookViewId="0">
      <selection activeCell="W62" sqref="W62:W63"/>
    </sheetView>
  </sheetViews>
  <sheetFormatPr defaultColWidth="9.140625" defaultRowHeight="12.75" x14ac:dyDescent="0.2"/>
  <cols>
    <col min="1" max="1" width="5" style="2" bestFit="1" customWidth="1"/>
    <col min="2" max="2" width="16.5703125" style="2" customWidth="1"/>
    <col min="3" max="3" width="14.42578125" style="2" customWidth="1"/>
    <col min="4" max="4" width="17.5703125" style="2" customWidth="1"/>
    <col min="5" max="6" width="16.5703125" style="2" customWidth="1"/>
    <col min="7" max="7" width="4.5703125" style="2" customWidth="1"/>
    <col min="8" max="8" width="6" style="2" customWidth="1"/>
    <col min="9" max="9" width="17" style="2" customWidth="1"/>
    <col min="10" max="11" width="15.42578125" style="2" customWidth="1"/>
    <col min="12" max="12" width="4.5703125" style="2" customWidth="1"/>
    <col min="13" max="13" width="5" style="2" bestFit="1" customWidth="1"/>
    <col min="14" max="14" width="17.5703125" style="2" customWidth="1"/>
    <col min="15" max="15" width="14.42578125" style="2" customWidth="1"/>
    <col min="16" max="16" width="16.5703125" style="2" customWidth="1"/>
    <col min="17" max="18" width="17.42578125" style="2" customWidth="1"/>
    <col min="19" max="19" width="4.5703125" style="2" customWidth="1"/>
    <col min="20" max="20" width="6" style="2" customWidth="1"/>
    <col min="21" max="21" width="17.42578125" style="2" customWidth="1"/>
    <col min="22" max="23" width="16.42578125" style="2" customWidth="1"/>
    <col min="24" max="24" width="9.140625" style="2"/>
    <col min="25" max="25" width="19.42578125" style="2" customWidth="1"/>
    <col min="26" max="26" width="15.5703125" style="2" customWidth="1"/>
    <col min="27" max="27" width="14.42578125" style="2" customWidth="1"/>
    <col min="28" max="28" width="15.5703125" style="2" customWidth="1"/>
    <col min="29" max="29" width="17" style="2" customWidth="1"/>
    <col min="30" max="30" width="11.140625" style="2" customWidth="1"/>
    <col min="31" max="16384" width="9.140625" style="2"/>
  </cols>
  <sheetData>
    <row r="8" spans="1:32" ht="15" customHeight="1" x14ac:dyDescent="0.25">
      <c r="A8" s="16" t="s">
        <v>0</v>
      </c>
      <c r="B8" s="16"/>
      <c r="C8" s="16"/>
      <c r="D8" s="16"/>
      <c r="E8" s="16"/>
      <c r="F8" s="16"/>
      <c r="G8" s="16"/>
      <c r="H8" s="16"/>
      <c r="I8" s="16"/>
      <c r="J8" s="16"/>
      <c r="K8" s="1"/>
      <c r="M8" s="16" t="s">
        <v>1</v>
      </c>
      <c r="N8" s="16"/>
      <c r="O8" s="16"/>
      <c r="P8" s="16"/>
      <c r="Q8" s="16"/>
      <c r="R8" s="16"/>
      <c r="S8" s="16"/>
      <c r="T8" s="16"/>
      <c r="U8" s="16"/>
      <c r="V8" s="16"/>
      <c r="W8" s="1"/>
      <c r="Y8" s="11" t="s">
        <v>2</v>
      </c>
      <c r="Z8" s="5"/>
      <c r="AA8" s="5"/>
      <c r="AB8" s="5"/>
      <c r="AC8" s="5"/>
      <c r="AE8" s="12"/>
      <c r="AF8" s="12"/>
    </row>
    <row r="9" spans="1:32" x14ac:dyDescent="0.2">
      <c r="A9" s="7" t="s">
        <v>3</v>
      </c>
      <c r="B9" s="6" t="s">
        <v>4</v>
      </c>
      <c r="C9" s="6" t="s">
        <v>5</v>
      </c>
      <c r="D9" s="6" t="s">
        <v>6</v>
      </c>
      <c r="E9" s="6" t="s">
        <v>7</v>
      </c>
      <c r="F9" s="6" t="s">
        <v>8</v>
      </c>
      <c r="G9" s="11"/>
      <c r="H9" s="7" t="s">
        <v>9</v>
      </c>
      <c r="I9" s="6" t="s">
        <v>10</v>
      </c>
      <c r="J9" s="6" t="s">
        <v>11</v>
      </c>
      <c r="K9" s="6" t="s">
        <v>12</v>
      </c>
      <c r="L9" s="3"/>
      <c r="M9" s="7" t="s">
        <v>3</v>
      </c>
      <c r="N9" s="6" t="s">
        <v>4</v>
      </c>
      <c r="O9" s="6" t="s">
        <v>5</v>
      </c>
      <c r="P9" s="6" t="s">
        <v>6</v>
      </c>
      <c r="Q9" s="6" t="s">
        <v>7</v>
      </c>
      <c r="R9" s="6" t="s">
        <v>8</v>
      </c>
      <c r="S9" s="11"/>
      <c r="T9" s="7" t="s">
        <v>9</v>
      </c>
      <c r="U9" s="6" t="s">
        <v>10</v>
      </c>
      <c r="V9" s="6" t="s">
        <v>11</v>
      </c>
      <c r="W9" s="6" t="s">
        <v>12</v>
      </c>
      <c r="Y9" s="5"/>
      <c r="Z9" s="5" t="s">
        <v>13</v>
      </c>
      <c r="AA9" s="5" t="s">
        <v>14</v>
      </c>
      <c r="AB9" s="5" t="s">
        <v>15</v>
      </c>
      <c r="AC9" s="5" t="s">
        <v>16</v>
      </c>
    </row>
    <row r="10" spans="1:32" ht="14.25" customHeight="1" x14ac:dyDescent="0.25">
      <c r="A10" s="8">
        <v>0</v>
      </c>
      <c r="B10" s="9">
        <v>-4.9276837008141197</v>
      </c>
      <c r="C10" s="9">
        <v>1.9884450131454401E-2</v>
      </c>
      <c r="D10" s="9">
        <v>-6.9769529355559398E-2</v>
      </c>
      <c r="E10" s="9">
        <v>1.8751429040164899E-2</v>
      </c>
      <c r="F10" s="9">
        <v>0</v>
      </c>
      <c r="G10" s="4" cm="1">
        <f t="array" ref="G10:G130">F10:F130-'[1]Parameterwaarden 2024'!$F$10:$F$130</f>
        <v>0</v>
      </c>
      <c r="H10" s="8">
        <v>1970</v>
      </c>
      <c r="I10" s="9">
        <v>44.500742906970999</v>
      </c>
      <c r="J10" s="13"/>
      <c r="M10" s="8">
        <v>0</v>
      </c>
      <c r="N10" s="9">
        <v>-5.1632911056913704</v>
      </c>
      <c r="O10" s="9">
        <v>2.0085767763588301E-2</v>
      </c>
      <c r="P10" s="9">
        <v>-1.42433288667654E-2</v>
      </c>
      <c r="Q10" s="9">
        <v>2.1169880109512498E-2</v>
      </c>
      <c r="R10" s="9">
        <v>0</v>
      </c>
      <c r="T10" s="8">
        <v>1970</v>
      </c>
      <c r="U10" s="9">
        <v>47.3415667421067</v>
      </c>
      <c r="V10" s="13"/>
      <c r="Y10" s="5" t="s">
        <v>13</v>
      </c>
      <c r="Z10" s="9">
        <v>2.3558921129504702</v>
      </c>
      <c r="AA10" s="9">
        <v>0.435028367487723</v>
      </c>
      <c r="AB10" s="9">
        <v>2.6766651495345299</v>
      </c>
      <c r="AC10" s="9">
        <v>-0.489507932029141</v>
      </c>
    </row>
    <row r="11" spans="1:32" ht="14.25" customHeight="1" x14ac:dyDescent="0.25">
      <c r="A11" s="8">
        <v>1</v>
      </c>
      <c r="B11" s="9">
        <v>-7.5025556045191397</v>
      </c>
      <c r="C11" s="9">
        <v>1.8176895874456599E-2</v>
      </c>
      <c r="D11" s="9">
        <v>-2.1758019813943499E-2</v>
      </c>
      <c r="E11" s="9">
        <v>3.6771707807708698E-3</v>
      </c>
      <c r="F11" s="9">
        <v>0</v>
      </c>
      <c r="G11" s="2">
        <v>0</v>
      </c>
      <c r="H11" s="8">
        <v>1971</v>
      </c>
      <c r="I11" s="9">
        <v>43.1502230080294</v>
      </c>
      <c r="J11" s="13"/>
      <c r="M11" s="8">
        <v>1</v>
      </c>
      <c r="N11" s="9">
        <v>-7.6537370624682799</v>
      </c>
      <c r="O11" s="9">
        <v>1.8927253006048399E-2</v>
      </c>
      <c r="P11" s="9">
        <v>2.15197481354421E-2</v>
      </c>
      <c r="Q11" s="9">
        <v>9.0260273672154799E-4</v>
      </c>
      <c r="R11" s="9">
        <v>0</v>
      </c>
      <c r="T11" s="8">
        <v>1971</v>
      </c>
      <c r="U11" s="9">
        <v>45.371842651466103</v>
      </c>
      <c r="V11" s="13"/>
      <c r="Y11" s="5" t="s">
        <v>14</v>
      </c>
      <c r="Z11" s="9">
        <v>0.435028367487723</v>
      </c>
      <c r="AA11" s="9">
        <v>0.81722012034123104</v>
      </c>
      <c r="AB11" s="9">
        <v>0.48329080745477099</v>
      </c>
      <c r="AC11" s="9">
        <v>0.48021615417399999</v>
      </c>
    </row>
    <row r="12" spans="1:32" ht="14.25" customHeight="1" x14ac:dyDescent="0.25">
      <c r="A12" s="8">
        <v>2</v>
      </c>
      <c r="B12" s="9">
        <v>-7.9590336552630196</v>
      </c>
      <c r="C12" s="9">
        <v>1.9235612712364802E-2</v>
      </c>
      <c r="D12" s="9">
        <v>5.41118305160984E-2</v>
      </c>
      <c r="E12" s="9">
        <v>2.19580816832219E-2</v>
      </c>
      <c r="F12" s="9">
        <v>0</v>
      </c>
      <c r="G12" s="2">
        <v>0</v>
      </c>
      <c r="H12" s="8">
        <v>1972</v>
      </c>
      <c r="I12" s="9">
        <v>43.0120681244967</v>
      </c>
      <c r="J12" s="13"/>
      <c r="M12" s="8">
        <v>2</v>
      </c>
      <c r="N12" s="9">
        <v>-8.2026614940542899</v>
      </c>
      <c r="O12" s="9">
        <v>1.9850563310219699E-2</v>
      </c>
      <c r="P12" s="9">
        <v>-7.6718742492882797E-3</v>
      </c>
      <c r="Q12" s="9">
        <v>-6.8614003534300701E-3</v>
      </c>
      <c r="R12" s="9">
        <v>0</v>
      </c>
      <c r="T12" s="8">
        <v>1972</v>
      </c>
      <c r="U12" s="9">
        <v>44.224942181139802</v>
      </c>
      <c r="V12" s="13"/>
      <c r="Y12" s="5" t="s">
        <v>15</v>
      </c>
      <c r="Z12" s="9">
        <v>2.6766651495345299</v>
      </c>
      <c r="AA12" s="9">
        <v>0.48329080745477099</v>
      </c>
      <c r="AB12" s="9">
        <v>3.4853250806848202</v>
      </c>
      <c r="AC12" s="9">
        <v>-0.56418181694541703</v>
      </c>
    </row>
    <row r="13" spans="1:32" ht="14.25" customHeight="1" x14ac:dyDescent="0.25">
      <c r="A13" s="8">
        <v>3</v>
      </c>
      <c r="B13" s="9">
        <v>-8.2055093971229898</v>
      </c>
      <c r="C13" s="9">
        <v>2.0690905844247001E-2</v>
      </c>
      <c r="D13" s="9">
        <v>1.06101126828522E-2</v>
      </c>
      <c r="E13" s="9">
        <v>1.7009157921576101E-2</v>
      </c>
      <c r="F13" s="9">
        <v>0</v>
      </c>
      <c r="G13" s="2">
        <v>0</v>
      </c>
      <c r="H13" s="8">
        <v>1973</v>
      </c>
      <c r="I13" s="9">
        <v>41.497718685694402</v>
      </c>
      <c r="J13" s="13"/>
      <c r="M13" s="8">
        <v>3</v>
      </c>
      <c r="N13" s="9">
        <v>-8.4449490163706002</v>
      </c>
      <c r="O13" s="9">
        <v>2.0053419075553199E-2</v>
      </c>
      <c r="P13" s="9">
        <v>-5.0882808599491E-2</v>
      </c>
      <c r="Q13" s="9">
        <v>8.8861078410373601E-4</v>
      </c>
      <c r="R13" s="9">
        <v>0</v>
      </c>
      <c r="T13" s="8">
        <v>1973</v>
      </c>
      <c r="U13" s="9">
        <v>42.560399170363397</v>
      </c>
      <c r="V13" s="13"/>
      <c r="Y13" s="5" t="s">
        <v>16</v>
      </c>
      <c r="Z13" s="9">
        <v>-0.489507932029141</v>
      </c>
      <c r="AA13" s="9">
        <v>0.48021615417399999</v>
      </c>
      <c r="AB13" s="9">
        <v>-0.56418181694541703</v>
      </c>
      <c r="AC13" s="9">
        <v>1.03518917251084</v>
      </c>
    </row>
    <row r="14" spans="1:32" ht="14.25" customHeight="1" x14ac:dyDescent="0.25">
      <c r="A14" s="8">
        <v>4</v>
      </c>
      <c r="B14" s="9">
        <v>-8.3907989102492095</v>
      </c>
      <c r="C14" s="9">
        <v>2.1196121445317399E-2</v>
      </c>
      <c r="D14" s="9">
        <v>-3.67787231318406E-2</v>
      </c>
      <c r="E14" s="9">
        <v>1.8915871007102701E-2</v>
      </c>
      <c r="F14" s="9">
        <v>0</v>
      </c>
      <c r="G14" s="2">
        <v>0</v>
      </c>
      <c r="H14" s="8">
        <v>1974</v>
      </c>
      <c r="I14" s="9">
        <v>39.794620469499201</v>
      </c>
      <c r="J14" s="13"/>
      <c r="M14" s="8">
        <v>4</v>
      </c>
      <c r="N14" s="9">
        <v>-8.6357565475213605</v>
      </c>
      <c r="O14" s="9">
        <v>2.0156551129585601E-2</v>
      </c>
      <c r="P14" s="9">
        <v>1.8813121138870199E-2</v>
      </c>
      <c r="Q14" s="9">
        <v>1.47260143935606E-2</v>
      </c>
      <c r="R14" s="9">
        <v>0</v>
      </c>
      <c r="T14" s="8">
        <v>1974</v>
      </c>
      <c r="U14" s="9">
        <v>40.277366497629103</v>
      </c>
      <c r="V14" s="13"/>
    </row>
    <row r="15" spans="1:32" ht="14.25" customHeight="1" x14ac:dyDescent="0.25">
      <c r="A15" s="8">
        <v>5</v>
      </c>
      <c r="B15" s="9">
        <v>-8.4922850118114699</v>
      </c>
      <c r="C15" s="9">
        <v>2.1736790640141699E-2</v>
      </c>
      <c r="D15" s="9">
        <v>6.2502556993298004E-3</v>
      </c>
      <c r="E15" s="9">
        <v>2.5664975862042E-2</v>
      </c>
      <c r="F15" s="9">
        <v>0</v>
      </c>
      <c r="G15" s="2">
        <v>0</v>
      </c>
      <c r="H15" s="8">
        <v>1975</v>
      </c>
      <c r="I15" s="9">
        <v>39.835077387562599</v>
      </c>
      <c r="J15" s="13"/>
      <c r="M15" s="8">
        <v>5</v>
      </c>
      <c r="N15" s="9">
        <v>-8.7617993071919695</v>
      </c>
      <c r="O15" s="9">
        <v>2.0248507193005801E-2</v>
      </c>
      <c r="P15" s="9">
        <v>-5.7314612545919602E-2</v>
      </c>
      <c r="Q15" s="9">
        <v>-2.3007436619674401E-3</v>
      </c>
      <c r="R15" s="9">
        <v>0</v>
      </c>
      <c r="T15" s="8">
        <v>1975</v>
      </c>
      <c r="U15" s="9">
        <v>39.5634610480028</v>
      </c>
      <c r="V15" s="13"/>
    </row>
    <row r="16" spans="1:32" ht="14.25" customHeight="1" x14ac:dyDescent="0.25">
      <c r="A16" s="8">
        <v>6</v>
      </c>
      <c r="B16" s="9">
        <v>-8.5746130807283407</v>
      </c>
      <c r="C16" s="9">
        <v>2.1799401714701499E-2</v>
      </c>
      <c r="D16" s="9">
        <v>-3.8966343348778999E-2</v>
      </c>
      <c r="E16" s="9">
        <v>5.3557767802090298E-3</v>
      </c>
      <c r="F16" s="9">
        <v>0</v>
      </c>
      <c r="G16" s="2">
        <v>0</v>
      </c>
      <c r="H16" s="8">
        <v>1976</v>
      </c>
      <c r="I16" s="9">
        <v>38.665553680437199</v>
      </c>
      <c r="J16" s="13"/>
      <c r="M16" s="8">
        <v>6</v>
      </c>
      <c r="N16" s="9">
        <v>-8.8238344088941005</v>
      </c>
      <c r="O16" s="9">
        <v>1.96940288213453E-2</v>
      </c>
      <c r="P16" s="9">
        <v>-0.10187367816764401</v>
      </c>
      <c r="Q16" s="9">
        <v>1.6760978908488801E-2</v>
      </c>
      <c r="R16" s="9">
        <v>0</v>
      </c>
      <c r="T16" s="8">
        <v>1976</v>
      </c>
      <c r="U16" s="9">
        <v>37.918666699405399</v>
      </c>
      <c r="V16" s="13"/>
    </row>
    <row r="17" spans="1:29" ht="14.25" customHeight="1" x14ac:dyDescent="0.25">
      <c r="A17" s="8">
        <v>7</v>
      </c>
      <c r="B17" s="9">
        <v>-8.64341082954234</v>
      </c>
      <c r="C17" s="9">
        <v>2.20130753689638E-2</v>
      </c>
      <c r="D17" s="9">
        <v>-3.2108762382729403E-2</v>
      </c>
      <c r="E17" s="9">
        <v>3.3988626579057601E-2</v>
      </c>
      <c r="F17" s="9">
        <v>0</v>
      </c>
      <c r="G17" s="2">
        <v>0</v>
      </c>
      <c r="H17" s="8">
        <v>1977</v>
      </c>
      <c r="I17" s="9">
        <v>34.222850989100102</v>
      </c>
      <c r="J17" s="13"/>
      <c r="M17" s="8">
        <v>7</v>
      </c>
      <c r="N17" s="9">
        <v>-8.9450633458730895</v>
      </c>
      <c r="O17" s="9">
        <v>2.0343132247675599E-2</v>
      </c>
      <c r="P17" s="9">
        <v>-6.0721632599912E-2</v>
      </c>
      <c r="Q17" s="9">
        <v>1.23139390994371E-2</v>
      </c>
      <c r="R17" s="9">
        <v>0</v>
      </c>
      <c r="T17" s="8">
        <v>1977</v>
      </c>
      <c r="U17" s="9">
        <v>31.941286250889998</v>
      </c>
      <c r="V17" s="13"/>
      <c r="Y17" s="11" t="s">
        <v>17</v>
      </c>
      <c r="Z17" s="5"/>
      <c r="AA17" s="5"/>
      <c r="AB17" s="5"/>
      <c r="AC17" s="5"/>
    </row>
    <row r="18" spans="1:29" ht="14.25" customHeight="1" x14ac:dyDescent="0.25">
      <c r="A18" s="8">
        <v>8</v>
      </c>
      <c r="B18" s="9">
        <v>-8.6825902118573399</v>
      </c>
      <c r="C18" s="9">
        <v>2.0710640400784401E-2</v>
      </c>
      <c r="D18" s="9">
        <v>-4.7704882664484097E-2</v>
      </c>
      <c r="E18" s="9">
        <v>2.2207673254893E-2</v>
      </c>
      <c r="F18" s="9">
        <v>0</v>
      </c>
      <c r="G18" s="2">
        <v>0</v>
      </c>
      <c r="H18" s="8">
        <v>1978</v>
      </c>
      <c r="I18" s="9">
        <v>34.774509517193799</v>
      </c>
      <c r="J18" s="13"/>
      <c r="M18" s="8">
        <v>8</v>
      </c>
      <c r="N18" s="9">
        <v>-8.9822014336494593</v>
      </c>
      <c r="O18" s="9">
        <v>1.8389705658901599E-2</v>
      </c>
      <c r="P18" s="9">
        <v>-0.12665490110681399</v>
      </c>
      <c r="Q18" s="9">
        <v>1.4504770242617E-2</v>
      </c>
      <c r="R18" s="9">
        <v>0</v>
      </c>
      <c r="T18" s="8">
        <v>1978</v>
      </c>
      <c r="U18" s="9">
        <v>31.9951583394772</v>
      </c>
      <c r="V18" s="13"/>
      <c r="Y18" s="5"/>
      <c r="Z18" s="5" t="s">
        <v>13</v>
      </c>
      <c r="AA18" s="5" t="s">
        <v>14</v>
      </c>
      <c r="AB18" s="5" t="s">
        <v>15</v>
      </c>
      <c r="AC18" s="5" t="s">
        <v>16</v>
      </c>
    </row>
    <row r="19" spans="1:29" ht="14.25" customHeight="1" x14ac:dyDescent="0.25">
      <c r="A19" s="8">
        <v>9</v>
      </c>
      <c r="B19" s="9">
        <v>-8.7295846625290103</v>
      </c>
      <c r="C19" s="9">
        <v>2.00159870342311E-2</v>
      </c>
      <c r="D19" s="9">
        <v>-0.110590577652698</v>
      </c>
      <c r="E19" s="9">
        <v>2.11556279027907E-2</v>
      </c>
      <c r="F19" s="9">
        <v>0</v>
      </c>
      <c r="G19" s="2">
        <v>0</v>
      </c>
      <c r="H19" s="8">
        <v>1979</v>
      </c>
      <c r="I19" s="9">
        <v>32.625649508705997</v>
      </c>
      <c r="J19" s="13"/>
      <c r="M19" s="8">
        <v>9</v>
      </c>
      <c r="N19" s="9">
        <v>-9.0239278130964404</v>
      </c>
      <c r="O19" s="9">
        <v>1.7758793393884299E-2</v>
      </c>
      <c r="P19" s="9">
        <v>-1.00876789689242E-3</v>
      </c>
      <c r="Q19" s="9">
        <v>1.2010213653901199E-2</v>
      </c>
      <c r="R19" s="9">
        <v>0</v>
      </c>
      <c r="T19" s="8">
        <v>1979</v>
      </c>
      <c r="U19" s="9">
        <v>29.534903778772701</v>
      </c>
      <c r="V19" s="13"/>
      <c r="Y19" s="5" t="s">
        <v>13</v>
      </c>
      <c r="Z19" s="9" t="e">
        <f t="array" aca="1" ref="Z19:AC22" ca="1">choL(Z10:AC13)</f>
        <v>#NAME?</v>
      </c>
      <c r="AA19" s="9" t="e">
        <f ca="1"/>
        <v>#NAME?</v>
      </c>
      <c r="AB19" s="9" t="e">
        <f ca="1"/>
        <v>#NAME?</v>
      </c>
      <c r="AC19" s="9" t="e">
        <f ca="1"/>
        <v>#NAME?</v>
      </c>
    </row>
    <row r="20" spans="1:29" ht="14.25" customHeight="1" x14ac:dyDescent="0.25">
      <c r="A20" s="8">
        <v>10</v>
      </c>
      <c r="B20" s="9">
        <v>-8.7511157943908096</v>
      </c>
      <c r="C20" s="9">
        <v>1.9102660669015201E-2</v>
      </c>
      <c r="D20" s="9">
        <v>-3.1142393383643001E-3</v>
      </c>
      <c r="E20" s="9">
        <v>1.8077450501216001E-2</v>
      </c>
      <c r="F20" s="9">
        <v>0</v>
      </c>
      <c r="G20" s="2">
        <v>0</v>
      </c>
      <c r="H20" s="8">
        <v>1980</v>
      </c>
      <c r="I20" s="9">
        <v>31.052803919252302</v>
      </c>
      <c r="J20" s="13"/>
      <c r="M20" s="8">
        <v>10</v>
      </c>
      <c r="N20" s="9">
        <v>-9.0343658583774609</v>
      </c>
      <c r="O20" s="9">
        <v>1.64198198006727E-2</v>
      </c>
      <c r="P20" s="9">
        <v>1.33117887326035E-2</v>
      </c>
      <c r="Q20" s="9">
        <v>1.7530377616344801E-2</v>
      </c>
      <c r="R20" s="9">
        <v>0</v>
      </c>
      <c r="T20" s="8">
        <v>1980</v>
      </c>
      <c r="U20" s="9">
        <v>27.412802128047101</v>
      </c>
      <c r="V20" s="13"/>
      <c r="Y20" s="5" t="s">
        <v>14</v>
      </c>
      <c r="Z20" s="9" t="e">
        <f ca="1"/>
        <v>#NAME?</v>
      </c>
      <c r="AA20" s="9" t="e">
        <f ca="1"/>
        <v>#NAME?</v>
      </c>
      <c r="AB20" s="9" t="e">
        <f ca="1"/>
        <v>#NAME?</v>
      </c>
      <c r="AC20" s="9" t="e">
        <f ca="1"/>
        <v>#NAME?</v>
      </c>
    </row>
    <row r="21" spans="1:29" ht="14.25" customHeight="1" x14ac:dyDescent="0.25">
      <c r="A21" s="8">
        <v>11</v>
      </c>
      <c r="B21" s="9">
        <v>-8.6824619644044905</v>
      </c>
      <c r="C21" s="9">
        <v>1.7403149085007098E-2</v>
      </c>
      <c r="D21" s="9">
        <v>-0.10478554555168999</v>
      </c>
      <c r="E21" s="9">
        <v>-3.39625513628659E-3</v>
      </c>
      <c r="F21" s="9">
        <v>0</v>
      </c>
      <c r="G21" s="2">
        <v>0</v>
      </c>
      <c r="H21" s="8">
        <v>1981</v>
      </c>
      <c r="I21" s="9">
        <v>29.475215683057499</v>
      </c>
      <c r="J21" s="13"/>
      <c r="M21" s="8">
        <v>11</v>
      </c>
      <c r="N21" s="9">
        <v>-9.0141589332062004</v>
      </c>
      <c r="O21" s="9">
        <v>1.51311766881164E-2</v>
      </c>
      <c r="P21" s="9">
        <v>3.3871165101706097E-2</v>
      </c>
      <c r="Q21" s="9">
        <v>-6.1567078199202896E-3</v>
      </c>
      <c r="R21" s="9">
        <v>0</v>
      </c>
      <c r="T21" s="8">
        <v>1981</v>
      </c>
      <c r="U21" s="9">
        <v>26.180076956271002</v>
      </c>
      <c r="V21" s="13"/>
      <c r="Y21" s="5" t="s">
        <v>15</v>
      </c>
      <c r="Z21" s="9" t="e">
        <f ca="1"/>
        <v>#NAME?</v>
      </c>
      <c r="AA21" s="9" t="e">
        <f ca="1"/>
        <v>#NAME?</v>
      </c>
      <c r="AB21" s="9" t="e">
        <f ca="1"/>
        <v>#NAME?</v>
      </c>
      <c r="AC21" s="9" t="e">
        <f ca="1"/>
        <v>#NAME?</v>
      </c>
    </row>
    <row r="22" spans="1:29" ht="14.25" customHeight="1" x14ac:dyDescent="0.25">
      <c r="A22" s="8">
        <v>12</v>
      </c>
      <c r="B22" s="9">
        <v>-8.6059876754185094</v>
      </c>
      <c r="C22" s="9">
        <v>1.6149101848137101E-2</v>
      </c>
      <c r="D22" s="9">
        <v>-2.0778163953239399E-2</v>
      </c>
      <c r="E22" s="9">
        <v>4.0524207898945001E-2</v>
      </c>
      <c r="F22" s="9">
        <v>0</v>
      </c>
      <c r="G22" s="2">
        <v>0</v>
      </c>
      <c r="H22" s="8">
        <v>1982</v>
      </c>
      <c r="I22" s="9">
        <v>27.270544874779201</v>
      </c>
      <c r="J22" s="13"/>
      <c r="M22" s="8">
        <v>12</v>
      </c>
      <c r="N22" s="9">
        <v>-8.9419003826223395</v>
      </c>
      <c r="O22" s="9">
        <v>1.47291067318741E-2</v>
      </c>
      <c r="P22" s="9">
        <v>0.118971263713716</v>
      </c>
      <c r="Q22" s="9">
        <v>-2.83730914658906E-3</v>
      </c>
      <c r="R22" s="9">
        <v>0</v>
      </c>
      <c r="T22" s="8">
        <v>1982</v>
      </c>
      <c r="U22" s="9">
        <v>23.8027541041671</v>
      </c>
      <c r="V22" s="13"/>
      <c r="Y22" s="5" t="s">
        <v>16</v>
      </c>
      <c r="Z22" s="9" t="e">
        <f ca="1"/>
        <v>#NAME?</v>
      </c>
      <c r="AA22" s="9" t="e">
        <f ca="1"/>
        <v>#NAME?</v>
      </c>
      <c r="AB22" s="9" t="e">
        <f ca="1"/>
        <v>#NAME?</v>
      </c>
      <c r="AC22" s="9" t="e">
        <f ca="1"/>
        <v>#NAME?</v>
      </c>
    </row>
    <row r="23" spans="1:29" ht="14.25" customHeight="1" x14ac:dyDescent="0.2">
      <c r="A23" s="8">
        <v>13</v>
      </c>
      <c r="B23" s="9">
        <v>-8.4798344897273097</v>
      </c>
      <c r="C23" s="9">
        <v>1.56961186696911E-2</v>
      </c>
      <c r="D23" s="9">
        <v>-7.4786726308646596E-3</v>
      </c>
      <c r="E23" s="9">
        <v>1.7881712351235899E-2</v>
      </c>
      <c r="F23" s="9">
        <v>0</v>
      </c>
      <c r="G23" s="2">
        <v>0</v>
      </c>
      <c r="H23" s="8">
        <v>1983</v>
      </c>
      <c r="I23" s="9">
        <v>26.578011818364999</v>
      </c>
      <c r="J23" s="9">
        <v>-7.4803327400355499</v>
      </c>
      <c r="M23" s="8">
        <v>13</v>
      </c>
      <c r="N23" s="9">
        <v>-8.8471409376523606</v>
      </c>
      <c r="O23" s="9">
        <v>1.31283515516769E-2</v>
      </c>
      <c r="P23" s="9">
        <v>0.10367492314333</v>
      </c>
      <c r="Q23" s="9">
        <v>-1.1641303380200601E-2</v>
      </c>
      <c r="R23" s="9">
        <v>0</v>
      </c>
      <c r="T23" s="8">
        <v>1983</v>
      </c>
      <c r="U23" s="9">
        <v>22.861519781391099</v>
      </c>
      <c r="V23" s="9">
        <v>-12.1575708876109</v>
      </c>
      <c r="W23" s="14"/>
    </row>
    <row r="24" spans="1:29" ht="14.25" customHeight="1" x14ac:dyDescent="0.2">
      <c r="A24" s="8">
        <v>14</v>
      </c>
      <c r="B24" s="9">
        <v>-8.2630700664520091</v>
      </c>
      <c r="C24" s="9">
        <v>1.50338955677721E-2</v>
      </c>
      <c r="D24" s="9">
        <v>-0.109797178173012</v>
      </c>
      <c r="E24" s="9">
        <v>1.6573931810837599E-2</v>
      </c>
      <c r="F24" s="9">
        <v>0</v>
      </c>
      <c r="G24" s="2">
        <v>0</v>
      </c>
      <c r="H24" s="8">
        <v>1984</v>
      </c>
      <c r="I24" s="9">
        <v>23.035408822943101</v>
      </c>
      <c r="J24" s="9">
        <v>-5.7932708944565698</v>
      </c>
      <c r="M24" s="8">
        <v>14</v>
      </c>
      <c r="N24" s="9">
        <v>-8.6812124985929007</v>
      </c>
      <c r="O24" s="9">
        <v>1.3362994976016901E-2</v>
      </c>
      <c r="P24" s="9">
        <v>-4.2756912979804398E-2</v>
      </c>
      <c r="Q24" s="9">
        <v>1.52883292139257E-2</v>
      </c>
      <c r="R24" s="9">
        <v>0</v>
      </c>
      <c r="T24" s="8">
        <v>1984</v>
      </c>
      <c r="U24" s="9">
        <v>18.292973200115298</v>
      </c>
      <c r="V24" s="9">
        <v>-9.0937281888464891</v>
      </c>
      <c r="W24" s="14"/>
    </row>
    <row r="25" spans="1:29" ht="14.25" customHeight="1" x14ac:dyDescent="0.2">
      <c r="A25" s="8">
        <v>15</v>
      </c>
      <c r="B25" s="9">
        <v>-7.9961470282951002</v>
      </c>
      <c r="C25" s="9">
        <v>1.4608548052712301E-2</v>
      </c>
      <c r="D25" s="9">
        <v>-0.17413846316427201</v>
      </c>
      <c r="E25" s="9">
        <v>1.5631450309038099E-2</v>
      </c>
      <c r="F25" s="9">
        <v>0</v>
      </c>
      <c r="G25" s="2">
        <v>0</v>
      </c>
      <c r="H25" s="8">
        <v>1985</v>
      </c>
      <c r="I25" s="9">
        <v>23.305202525924901</v>
      </c>
      <c r="J25" s="9">
        <v>-5.5142952868621897</v>
      </c>
      <c r="M25" s="8">
        <v>15</v>
      </c>
      <c r="N25" s="9">
        <v>-8.4721058483387903</v>
      </c>
      <c r="O25" s="9">
        <v>1.37571134281436E-2</v>
      </c>
      <c r="P25" s="9">
        <v>-0.106397007455501</v>
      </c>
      <c r="Q25" s="9">
        <v>1.31785200718984E-2</v>
      </c>
      <c r="R25" s="9">
        <v>0</v>
      </c>
      <c r="T25" s="8">
        <v>1985</v>
      </c>
      <c r="U25" s="9">
        <v>18.895927843880301</v>
      </c>
      <c r="V25" s="9">
        <v>-9.0042264622664199</v>
      </c>
      <c r="W25" s="14"/>
    </row>
    <row r="26" spans="1:29" ht="14.25" customHeight="1" x14ac:dyDescent="0.2">
      <c r="A26" s="8">
        <v>16</v>
      </c>
      <c r="B26" s="9">
        <v>-7.6236829587788497</v>
      </c>
      <c r="C26" s="9">
        <v>1.5709160420015501E-2</v>
      </c>
      <c r="D26" s="9">
        <v>-0.11693546352214799</v>
      </c>
      <c r="E26" s="9">
        <v>2.7833247935411299E-2</v>
      </c>
      <c r="F26" s="9">
        <v>0</v>
      </c>
      <c r="G26" s="2">
        <v>0</v>
      </c>
      <c r="H26" s="8">
        <v>1986</v>
      </c>
      <c r="I26" s="9">
        <v>20.9604363678766</v>
      </c>
      <c r="J26" s="9">
        <v>-4.2148536721598102</v>
      </c>
      <c r="M26" s="8">
        <v>16</v>
      </c>
      <c r="N26" s="9">
        <v>-8.2759033076738202</v>
      </c>
      <c r="O26" s="9">
        <v>1.4163550872953E-2</v>
      </c>
      <c r="P26" s="9">
        <v>-8.7293003708826894E-2</v>
      </c>
      <c r="Q26" s="9">
        <v>1.02683431535765E-2</v>
      </c>
      <c r="R26" s="9">
        <v>0</v>
      </c>
      <c r="T26" s="8">
        <v>1986</v>
      </c>
      <c r="U26" s="9">
        <v>16.537415197037301</v>
      </c>
      <c r="V26" s="9">
        <v>-7.5222727022262896</v>
      </c>
      <c r="W26" s="14"/>
    </row>
    <row r="27" spans="1:29" ht="14.25" customHeight="1" x14ac:dyDescent="0.2">
      <c r="A27" s="8">
        <v>17</v>
      </c>
      <c r="B27" s="9">
        <v>-7.3488763958613799</v>
      </c>
      <c r="C27" s="9">
        <v>1.5801023080434001E-2</v>
      </c>
      <c r="D27" s="9">
        <v>-0.28728499154912102</v>
      </c>
      <c r="E27" s="9">
        <v>2.50089991543853E-2</v>
      </c>
      <c r="F27" s="9">
        <v>0</v>
      </c>
      <c r="G27" s="2">
        <v>0</v>
      </c>
      <c r="H27" s="8">
        <v>1987</v>
      </c>
      <c r="I27" s="9">
        <v>17.141211455902901</v>
      </c>
      <c r="J27" s="9">
        <v>-4.55771162940081</v>
      </c>
      <c r="M27" s="8">
        <v>17</v>
      </c>
      <c r="N27" s="9">
        <v>-8.1670467850593305</v>
      </c>
      <c r="O27" s="9">
        <v>1.3988141383657201E-2</v>
      </c>
      <c r="P27" s="9">
        <v>-0.13161483379585001</v>
      </c>
      <c r="Q27" s="9">
        <v>2.64000141558298E-2</v>
      </c>
      <c r="R27" s="9">
        <v>0</v>
      </c>
      <c r="T27" s="8">
        <v>1987</v>
      </c>
      <c r="U27" s="9">
        <v>11.9354487122643</v>
      </c>
      <c r="V27" s="9">
        <v>-8.1533038763772403</v>
      </c>
      <c r="W27" s="14"/>
    </row>
    <row r="28" spans="1:29" ht="14.25" customHeight="1" x14ac:dyDescent="0.2">
      <c r="A28" s="8">
        <v>18</v>
      </c>
      <c r="B28" s="9">
        <v>-7.0393807813715901</v>
      </c>
      <c r="C28" s="9">
        <v>1.41435746971554E-2</v>
      </c>
      <c r="D28" s="9">
        <v>-0.47378969665745202</v>
      </c>
      <c r="E28" s="9">
        <v>2.6792395537041599E-2</v>
      </c>
      <c r="F28" s="9">
        <v>0</v>
      </c>
      <c r="G28" s="2">
        <v>0</v>
      </c>
      <c r="H28" s="8">
        <v>1988</v>
      </c>
      <c r="I28" s="9">
        <v>15.235918128625499</v>
      </c>
      <c r="J28" s="9">
        <v>-3.4446028375595601</v>
      </c>
      <c r="M28" s="8">
        <v>18</v>
      </c>
      <c r="N28" s="9">
        <v>-7.9961510955281003</v>
      </c>
      <c r="O28" s="9">
        <v>1.2212466610834E-2</v>
      </c>
      <c r="P28" s="9">
        <v>-0.25924188461576803</v>
      </c>
      <c r="Q28" s="9">
        <v>5.4233606712992904E-4</v>
      </c>
      <c r="R28" s="9">
        <v>0</v>
      </c>
      <c r="T28" s="8">
        <v>1988</v>
      </c>
      <c r="U28" s="9">
        <v>10.414200578183699</v>
      </c>
      <c r="V28" s="9">
        <v>-7.2311277037099</v>
      </c>
      <c r="W28" s="14"/>
    </row>
    <row r="29" spans="1:29" ht="14.25" customHeight="1" x14ac:dyDescent="0.2">
      <c r="A29" s="8">
        <v>19</v>
      </c>
      <c r="B29" s="9">
        <v>-6.9697241435672002</v>
      </c>
      <c r="C29" s="9">
        <v>1.35013481397274E-2</v>
      </c>
      <c r="D29" s="9">
        <v>-0.39238540929730997</v>
      </c>
      <c r="E29" s="9">
        <v>2.6865273883760601E-2</v>
      </c>
      <c r="F29" s="9">
        <v>0</v>
      </c>
      <c r="G29" s="2">
        <v>0</v>
      </c>
      <c r="H29" s="8">
        <v>1989</v>
      </c>
      <c r="I29" s="9">
        <v>13.886187581380099</v>
      </c>
      <c r="J29" s="9">
        <v>-1.56365523840718</v>
      </c>
      <c r="M29" s="8">
        <v>19</v>
      </c>
      <c r="N29" s="9">
        <v>-7.9897964653218496</v>
      </c>
      <c r="O29" s="9">
        <v>1.1860755411504499E-2</v>
      </c>
      <c r="P29" s="9">
        <v>-0.235603783542046</v>
      </c>
      <c r="Q29" s="9">
        <v>1.35639781298783E-2</v>
      </c>
      <c r="R29" s="9">
        <v>0</v>
      </c>
      <c r="T29" s="8">
        <v>1989</v>
      </c>
      <c r="U29" s="9">
        <v>9.61675663656154</v>
      </c>
      <c r="V29" s="9">
        <v>-5.3137255307754598</v>
      </c>
      <c r="W29" s="14"/>
    </row>
    <row r="30" spans="1:29" ht="14.25" customHeight="1" x14ac:dyDescent="0.2">
      <c r="A30" s="8">
        <v>20</v>
      </c>
      <c r="B30" s="9">
        <v>-6.9474654410132599</v>
      </c>
      <c r="C30" s="9">
        <v>1.2380489220348199E-2</v>
      </c>
      <c r="D30" s="9">
        <v>-0.397895440423508</v>
      </c>
      <c r="E30" s="9">
        <v>1.93383870562145E-2</v>
      </c>
      <c r="F30" s="9">
        <v>0</v>
      </c>
      <c r="G30" s="2">
        <v>0</v>
      </c>
      <c r="H30" s="8">
        <v>1990</v>
      </c>
      <c r="I30" s="9">
        <v>13.9909340268641</v>
      </c>
      <c r="J30" s="9">
        <v>-2.3690488058588302</v>
      </c>
      <c r="M30" s="8">
        <v>20</v>
      </c>
      <c r="N30" s="9">
        <v>-7.9947748803000502</v>
      </c>
      <c r="O30" s="9">
        <v>1.1657396081051E-2</v>
      </c>
      <c r="P30" s="9">
        <v>-0.21615145541992301</v>
      </c>
      <c r="Q30" s="9">
        <v>6.7924930884692902E-3</v>
      </c>
      <c r="R30" s="9">
        <v>0</v>
      </c>
      <c r="T30" s="8">
        <v>1990</v>
      </c>
      <c r="U30" s="9">
        <v>10.395244046396799</v>
      </c>
      <c r="V30" s="9">
        <v>-6.8239284822992197</v>
      </c>
      <c r="W30" s="14"/>
    </row>
    <row r="31" spans="1:29" ht="14.25" customHeight="1" x14ac:dyDescent="0.2">
      <c r="A31" s="8">
        <v>21</v>
      </c>
      <c r="B31" s="9">
        <v>-6.9393374537364299</v>
      </c>
      <c r="C31" s="9">
        <v>1.17321605593217E-2</v>
      </c>
      <c r="D31" s="9">
        <v>-0.39584164084179502</v>
      </c>
      <c r="E31" s="9">
        <v>1.4750211793618601E-2</v>
      </c>
      <c r="F31" s="9">
        <v>0</v>
      </c>
      <c r="G31" s="2">
        <v>0</v>
      </c>
      <c r="H31" s="8">
        <v>1991</v>
      </c>
      <c r="I31" s="9">
        <v>12.0181631211838</v>
      </c>
      <c r="J31" s="9">
        <v>-2.1095468718025598</v>
      </c>
      <c r="M31" s="8">
        <v>21</v>
      </c>
      <c r="N31" s="9">
        <v>-8.0063296796765506</v>
      </c>
      <c r="O31" s="9">
        <v>1.14791630048862E-2</v>
      </c>
      <c r="P31" s="9">
        <v>-0.18405790497861799</v>
      </c>
      <c r="Q31" s="9">
        <v>7.4705569724024803E-3</v>
      </c>
      <c r="R31" s="9">
        <v>0</v>
      </c>
      <c r="T31" s="8">
        <v>1991</v>
      </c>
      <c r="U31" s="9">
        <v>8.2833021901509891</v>
      </c>
      <c r="V31" s="9">
        <v>-5.7456934172107097</v>
      </c>
      <c r="W31" s="14"/>
    </row>
    <row r="32" spans="1:29" ht="14.25" customHeight="1" x14ac:dyDescent="0.2">
      <c r="A32" s="8">
        <v>22</v>
      </c>
      <c r="B32" s="9">
        <v>-6.9513538162089601</v>
      </c>
      <c r="C32" s="9">
        <v>1.11410064524741E-2</v>
      </c>
      <c r="D32" s="9">
        <v>-0.41378500034527999</v>
      </c>
      <c r="E32" s="9">
        <v>1.12638278465146E-2</v>
      </c>
      <c r="F32" s="9">
        <v>0</v>
      </c>
      <c r="G32" s="2">
        <v>0</v>
      </c>
      <c r="H32" s="8">
        <v>1992</v>
      </c>
      <c r="I32" s="9">
        <v>9.0645729552911192</v>
      </c>
      <c r="J32" s="9">
        <v>-1.4940514946294301</v>
      </c>
      <c r="M32" s="8">
        <v>22</v>
      </c>
      <c r="N32" s="9">
        <v>-8.0052892573573207</v>
      </c>
      <c r="O32" s="9">
        <v>1.1059825738396501E-2</v>
      </c>
      <c r="P32" s="9">
        <v>-0.16212451418929499</v>
      </c>
      <c r="Q32" s="9">
        <v>8.8647880228233701E-3</v>
      </c>
      <c r="R32" s="9">
        <v>0</v>
      </c>
      <c r="T32" s="8">
        <v>1992</v>
      </c>
      <c r="U32" s="9">
        <v>4.8182749110662897</v>
      </c>
      <c r="V32" s="9">
        <v>-4.6530759062712699</v>
      </c>
      <c r="W32" s="14"/>
    </row>
    <row r="33" spans="1:23" ht="14.25" customHeight="1" x14ac:dyDescent="0.2">
      <c r="A33" s="8">
        <v>23</v>
      </c>
      <c r="B33" s="9">
        <v>-6.9619325087224304</v>
      </c>
      <c r="C33" s="9">
        <v>1.0088767353934901E-2</v>
      </c>
      <c r="D33" s="9">
        <v>-0.36523572824581502</v>
      </c>
      <c r="E33" s="9">
        <v>8.2735364142997401E-3</v>
      </c>
      <c r="F33" s="9">
        <v>0</v>
      </c>
      <c r="G33" s="2">
        <v>0</v>
      </c>
      <c r="H33" s="8">
        <v>1993</v>
      </c>
      <c r="I33" s="9">
        <v>9.2086198634916396</v>
      </c>
      <c r="J33" s="9">
        <v>1.39527741181915</v>
      </c>
      <c r="M33" s="8">
        <v>23</v>
      </c>
      <c r="N33" s="9">
        <v>-7.9956782375539204</v>
      </c>
      <c r="O33" s="9">
        <v>1.0826602732355899E-2</v>
      </c>
      <c r="P33" s="9">
        <v>-0.14084024827376199</v>
      </c>
      <c r="Q33" s="9">
        <v>1.17773103045433E-4</v>
      </c>
      <c r="R33" s="9">
        <v>0</v>
      </c>
      <c r="T33" s="8">
        <v>1993</v>
      </c>
      <c r="U33" s="9">
        <v>5.4837507028583303</v>
      </c>
      <c r="V33" s="9">
        <v>-2.3554738855271098</v>
      </c>
      <c r="W33" s="14"/>
    </row>
    <row r="34" spans="1:23" ht="14.25" customHeight="1" x14ac:dyDescent="0.2">
      <c r="A34" s="8">
        <v>24</v>
      </c>
      <c r="B34" s="9">
        <v>-6.9734708668847896</v>
      </c>
      <c r="C34" s="9">
        <v>9.2277681216934304E-3</v>
      </c>
      <c r="D34" s="9">
        <v>-0.36537533353476498</v>
      </c>
      <c r="E34" s="9">
        <v>1.6518587285219401E-2</v>
      </c>
      <c r="F34" s="9">
        <v>0</v>
      </c>
      <c r="G34" s="2">
        <v>0</v>
      </c>
      <c r="H34" s="8">
        <v>1994</v>
      </c>
      <c r="I34" s="9">
        <v>4.8999634926717999</v>
      </c>
      <c r="J34" s="9">
        <v>-2.1117719186391701E-2</v>
      </c>
      <c r="M34" s="8">
        <v>24</v>
      </c>
      <c r="N34" s="9">
        <v>-7.9804433664748897</v>
      </c>
      <c r="O34" s="9">
        <v>1.09440077920504E-2</v>
      </c>
      <c r="P34" s="9">
        <v>-0.19286544051872601</v>
      </c>
      <c r="Q34" s="9">
        <v>2.0358096010658099E-3</v>
      </c>
      <c r="R34" s="9">
        <v>0</v>
      </c>
      <c r="T34" s="8">
        <v>1994</v>
      </c>
      <c r="U34" s="9">
        <v>1.0089308367621099</v>
      </c>
      <c r="V34" s="9">
        <v>-1.72441759644437</v>
      </c>
      <c r="W34" s="14"/>
    </row>
    <row r="35" spans="1:23" ht="14.25" customHeight="1" x14ac:dyDescent="0.2">
      <c r="A35" s="8">
        <v>25</v>
      </c>
      <c r="B35" s="9">
        <v>-6.9732922194283402</v>
      </c>
      <c r="C35" s="9">
        <v>8.6298169491890193E-3</v>
      </c>
      <c r="D35" s="9">
        <v>-0.37716358111724801</v>
      </c>
      <c r="E35" s="9">
        <v>2.2152536700427599E-3</v>
      </c>
      <c r="F35" s="9">
        <v>0</v>
      </c>
      <c r="G35" s="2">
        <v>0</v>
      </c>
      <c r="H35" s="8">
        <v>1995</v>
      </c>
      <c r="I35" s="9">
        <v>4.6572018754472504</v>
      </c>
      <c r="J35" s="9">
        <v>1.0482133852284401</v>
      </c>
      <c r="M35" s="8">
        <v>25</v>
      </c>
      <c r="N35" s="9">
        <v>-7.9441790861269199</v>
      </c>
      <c r="O35" s="9">
        <v>1.0753748753179001E-2</v>
      </c>
      <c r="P35" s="9">
        <v>-0.121244680589255</v>
      </c>
      <c r="Q35" s="9">
        <v>2.30556132472626E-3</v>
      </c>
      <c r="R35" s="9">
        <v>0</v>
      </c>
      <c r="T35" s="8">
        <v>1995</v>
      </c>
      <c r="U35" s="9">
        <v>0.70542820588344701</v>
      </c>
      <c r="V35" s="9">
        <v>-1.8221422034630499</v>
      </c>
      <c r="W35" s="14"/>
    </row>
    <row r="36" spans="1:23" ht="14.25" customHeight="1" x14ac:dyDescent="0.2">
      <c r="A36" s="8">
        <v>26</v>
      </c>
      <c r="B36" s="9">
        <v>-6.9649090021659701</v>
      </c>
      <c r="C36" s="9">
        <v>8.3321634317468692E-3</v>
      </c>
      <c r="D36" s="9">
        <v>-0.36649138218862098</v>
      </c>
      <c r="E36" s="9">
        <v>1.7708558928392199E-2</v>
      </c>
      <c r="F36" s="9">
        <v>0</v>
      </c>
      <c r="G36" s="2">
        <v>0</v>
      </c>
      <c r="H36" s="8">
        <v>1996</v>
      </c>
      <c r="I36" s="9">
        <v>2.24747044234253</v>
      </c>
      <c r="J36" s="9">
        <v>2.37434626024841</v>
      </c>
      <c r="M36" s="8">
        <v>26</v>
      </c>
      <c r="N36" s="9">
        <v>-7.9024699168310297</v>
      </c>
      <c r="O36" s="9">
        <v>1.0336905269882599E-2</v>
      </c>
      <c r="P36" s="9">
        <v>-0.146836540368736</v>
      </c>
      <c r="Q36" s="9">
        <v>2.67553383619753E-3</v>
      </c>
      <c r="R36" s="9">
        <v>0</v>
      </c>
      <c r="T36" s="8">
        <v>1996</v>
      </c>
      <c r="U36" s="9">
        <v>-1.04363255225337</v>
      </c>
      <c r="V36" s="9">
        <v>-0.53691247807544495</v>
      </c>
      <c r="W36" s="14"/>
    </row>
    <row r="37" spans="1:23" ht="14.25" customHeight="1" x14ac:dyDescent="0.2">
      <c r="A37" s="8">
        <v>27</v>
      </c>
      <c r="B37" s="9">
        <v>-6.9536525593817204</v>
      </c>
      <c r="C37" s="9">
        <v>8.3127769294210601E-3</v>
      </c>
      <c r="D37" s="9">
        <v>-0.41863531447270202</v>
      </c>
      <c r="E37" s="9">
        <v>5.1459693188343298E-3</v>
      </c>
      <c r="F37" s="9">
        <v>0</v>
      </c>
      <c r="G37" s="2">
        <v>0</v>
      </c>
      <c r="H37" s="8">
        <v>1997</v>
      </c>
      <c r="I37" s="9">
        <v>-1.2898370166501301</v>
      </c>
      <c r="J37" s="9">
        <v>1.76755809600356</v>
      </c>
      <c r="M37" s="8">
        <v>27</v>
      </c>
      <c r="N37" s="9">
        <v>-7.8564488990290604</v>
      </c>
      <c r="O37" s="9">
        <v>1.0155331965989599E-2</v>
      </c>
      <c r="P37" s="9">
        <v>-0.12015677883834</v>
      </c>
      <c r="Q37" s="9">
        <v>5.8752692573115399E-3</v>
      </c>
      <c r="R37" s="9">
        <v>0</v>
      </c>
      <c r="T37" s="8">
        <v>1997</v>
      </c>
      <c r="U37" s="9">
        <v>-3.88478207873061</v>
      </c>
      <c r="V37" s="9">
        <v>-0.11924302919037701</v>
      </c>
      <c r="W37" s="14"/>
    </row>
    <row r="38" spans="1:23" ht="14.25" customHeight="1" x14ac:dyDescent="0.2">
      <c r="A38" s="8">
        <v>28</v>
      </c>
      <c r="B38" s="9">
        <v>-6.9304834732282297</v>
      </c>
      <c r="C38" s="9">
        <v>8.0030367854362593E-3</v>
      </c>
      <c r="D38" s="9">
        <v>-0.37494368840178499</v>
      </c>
      <c r="E38" s="9">
        <v>4.3961059214981599E-3</v>
      </c>
      <c r="F38" s="9">
        <v>0</v>
      </c>
      <c r="G38" s="2">
        <v>0</v>
      </c>
      <c r="H38" s="8">
        <v>1998</v>
      </c>
      <c r="I38" s="9">
        <v>-3.3216449573405602</v>
      </c>
      <c r="J38" s="9">
        <v>2.68337130332662</v>
      </c>
      <c r="M38" s="8">
        <v>28</v>
      </c>
      <c r="N38" s="9">
        <v>-7.8052287581120101</v>
      </c>
      <c r="O38" s="9">
        <v>9.9192871083662003E-3</v>
      </c>
      <c r="P38" s="9">
        <v>-9.0140585495931597E-2</v>
      </c>
      <c r="Q38" s="9">
        <v>8.5354656411266508E-3</v>
      </c>
      <c r="R38" s="9">
        <v>0</v>
      </c>
      <c r="T38" s="8">
        <v>1998</v>
      </c>
      <c r="U38" s="9">
        <v>-5.7797681411872501</v>
      </c>
      <c r="V38" s="9">
        <v>0.822119718994751</v>
      </c>
      <c r="W38" s="14"/>
    </row>
    <row r="39" spans="1:23" ht="14.25" customHeight="1" x14ac:dyDescent="0.2">
      <c r="A39" s="8">
        <v>29</v>
      </c>
      <c r="B39" s="9">
        <v>-6.8977186365455703</v>
      </c>
      <c r="C39" s="9">
        <v>8.0726290372331502E-3</v>
      </c>
      <c r="D39" s="9">
        <v>-0.36004823374742301</v>
      </c>
      <c r="E39" s="9">
        <v>2.3202373239964201E-3</v>
      </c>
      <c r="F39" s="9">
        <v>0</v>
      </c>
      <c r="G39" s="2">
        <v>0</v>
      </c>
      <c r="H39" s="8">
        <v>1999</v>
      </c>
      <c r="I39" s="9">
        <v>-5.3820559061294402</v>
      </c>
      <c r="J39" s="9">
        <v>3.3925000353652601</v>
      </c>
      <c r="M39" s="8">
        <v>29</v>
      </c>
      <c r="N39" s="9">
        <v>-7.74040467286778</v>
      </c>
      <c r="O39" s="9">
        <v>9.7508826047806099E-3</v>
      </c>
      <c r="P39" s="9">
        <v>-7.4218280184957103E-2</v>
      </c>
      <c r="Q39" s="9">
        <v>7.3808245750389698E-3</v>
      </c>
      <c r="R39" s="9">
        <v>0</v>
      </c>
      <c r="T39" s="8">
        <v>1999</v>
      </c>
      <c r="U39" s="9">
        <v>-6.8043903850287197</v>
      </c>
      <c r="V39" s="9">
        <v>2.5619767608530699</v>
      </c>
      <c r="W39" s="14"/>
    </row>
    <row r="40" spans="1:23" ht="14.25" customHeight="1" x14ac:dyDescent="0.2">
      <c r="A40" s="8">
        <v>30</v>
      </c>
      <c r="B40" s="9">
        <v>-6.8643440931533402</v>
      </c>
      <c r="C40" s="9">
        <v>8.0443152507165498E-3</v>
      </c>
      <c r="D40" s="9">
        <v>-0.38508975390122901</v>
      </c>
      <c r="E40" s="9">
        <v>1.4048106114283899E-2</v>
      </c>
      <c r="F40" s="9">
        <v>0</v>
      </c>
      <c r="G40" s="2">
        <v>0</v>
      </c>
      <c r="H40" s="8">
        <v>2000</v>
      </c>
      <c r="I40" s="9">
        <v>-8.8351026645386099</v>
      </c>
      <c r="J40" s="9">
        <v>4.2285039939288502</v>
      </c>
      <c r="M40" s="8">
        <v>30</v>
      </c>
      <c r="N40" s="9">
        <v>-7.6695864796121</v>
      </c>
      <c r="O40" s="9">
        <v>9.9479409048986792E-3</v>
      </c>
      <c r="P40" s="9">
        <v>-9.6778005982214296E-2</v>
      </c>
      <c r="Q40" s="9">
        <v>9.3273321512825896E-3</v>
      </c>
      <c r="R40" s="9">
        <v>0</v>
      </c>
      <c r="T40" s="8">
        <v>2000</v>
      </c>
      <c r="U40" s="9">
        <v>-10.062409617613699</v>
      </c>
      <c r="V40" s="9">
        <v>3.9794228143139501</v>
      </c>
      <c r="W40" s="14"/>
    </row>
    <row r="41" spans="1:23" ht="14.25" customHeight="1" x14ac:dyDescent="0.2">
      <c r="A41" s="8">
        <v>31</v>
      </c>
      <c r="B41" s="9">
        <v>-6.82116285712444</v>
      </c>
      <c r="C41" s="9">
        <v>7.6940553901026099E-3</v>
      </c>
      <c r="D41" s="9">
        <v>-0.36196534295090499</v>
      </c>
      <c r="E41" s="9">
        <v>1.10652981137099E-2</v>
      </c>
      <c r="F41" s="9">
        <v>0</v>
      </c>
      <c r="G41" s="2">
        <v>0</v>
      </c>
      <c r="H41" s="8">
        <v>2001</v>
      </c>
      <c r="I41" s="9">
        <v>-12.085069501340101</v>
      </c>
      <c r="J41" s="9">
        <v>4.4474399433282201</v>
      </c>
      <c r="M41" s="8">
        <v>31</v>
      </c>
      <c r="N41" s="9">
        <v>-7.6112840721796804</v>
      </c>
      <c r="O41" s="9">
        <v>9.7644087910366203E-3</v>
      </c>
      <c r="P41" s="9">
        <v>-6.6480683011939795E-2</v>
      </c>
      <c r="Q41" s="9">
        <v>9.4386373298577502E-5</v>
      </c>
      <c r="R41" s="9">
        <v>0</v>
      </c>
      <c r="T41" s="8">
        <v>2001</v>
      </c>
      <c r="U41" s="9">
        <v>-12.7918390056821</v>
      </c>
      <c r="V41" s="9">
        <v>4.9575382238576502</v>
      </c>
      <c r="W41" s="14"/>
    </row>
    <row r="42" spans="1:23" ht="14.25" customHeight="1" x14ac:dyDescent="0.2">
      <c r="A42" s="8">
        <v>32</v>
      </c>
      <c r="B42" s="9">
        <v>-6.7774687476987596</v>
      </c>
      <c r="C42" s="9">
        <v>7.6239276781359501E-3</v>
      </c>
      <c r="D42" s="9">
        <v>-0.34526465031885301</v>
      </c>
      <c r="E42" s="9">
        <v>-5.8901642063438403E-4</v>
      </c>
      <c r="F42" s="9">
        <v>0</v>
      </c>
      <c r="G42" s="2">
        <v>0</v>
      </c>
      <c r="H42" s="8">
        <v>2002</v>
      </c>
      <c r="I42" s="9">
        <v>-13.714025800457</v>
      </c>
      <c r="J42" s="9">
        <v>5.0372389217902702</v>
      </c>
      <c r="M42" s="8">
        <v>32</v>
      </c>
      <c r="N42" s="9">
        <v>-7.5277760759101202</v>
      </c>
      <c r="O42" s="9">
        <v>9.83238703468939E-3</v>
      </c>
      <c r="P42" s="9">
        <v>-0.101801131798111</v>
      </c>
      <c r="Q42" s="9">
        <v>-1.12633707574821E-3</v>
      </c>
      <c r="R42" s="9">
        <v>0</v>
      </c>
      <c r="T42" s="8">
        <v>2002</v>
      </c>
      <c r="U42" s="9">
        <v>-13.092241854351</v>
      </c>
      <c r="V42" s="9">
        <v>5.1387262227373203</v>
      </c>
      <c r="W42" s="14"/>
    </row>
    <row r="43" spans="1:23" ht="14.25" customHeight="1" x14ac:dyDescent="0.2">
      <c r="A43" s="8">
        <v>33</v>
      </c>
      <c r="B43" s="9">
        <v>-6.7279560145825297</v>
      </c>
      <c r="C43" s="9">
        <v>7.8741980964553496E-3</v>
      </c>
      <c r="D43" s="9">
        <v>-0.35839249926524802</v>
      </c>
      <c r="E43" s="9">
        <v>8.40794304650898E-3</v>
      </c>
      <c r="F43" s="9">
        <v>0</v>
      </c>
      <c r="G43" s="2">
        <v>0</v>
      </c>
      <c r="H43" s="8">
        <v>2003</v>
      </c>
      <c r="I43" s="9">
        <v>-15.1156168839179</v>
      </c>
      <c r="J43" s="9">
        <v>4.6210587724698096</v>
      </c>
      <c r="M43" s="8">
        <v>33</v>
      </c>
      <c r="N43" s="9">
        <v>-7.4454943758757803</v>
      </c>
      <c r="O43" s="9">
        <v>9.73005721129294E-3</v>
      </c>
      <c r="P43" s="9">
        <v>-4.44479433513418E-2</v>
      </c>
      <c r="Q43" s="9">
        <v>-3.2978593793850401E-3</v>
      </c>
      <c r="R43" s="9">
        <v>0</v>
      </c>
      <c r="T43" s="8">
        <v>2003</v>
      </c>
      <c r="U43" s="9">
        <v>-13.4881192294845</v>
      </c>
      <c r="V43" s="9">
        <v>3.93500017451281</v>
      </c>
      <c r="W43" s="14"/>
    </row>
    <row r="44" spans="1:23" ht="14.25" customHeight="1" x14ac:dyDescent="0.2">
      <c r="A44" s="8">
        <v>34</v>
      </c>
      <c r="B44" s="9">
        <v>-6.6699994612850402</v>
      </c>
      <c r="C44" s="9">
        <v>7.8222138164938601E-3</v>
      </c>
      <c r="D44" s="9">
        <v>-0.36283039667897099</v>
      </c>
      <c r="E44" s="9">
        <v>1.1019448670276001E-2</v>
      </c>
      <c r="F44" s="9">
        <v>0</v>
      </c>
      <c r="G44" s="2">
        <v>0</v>
      </c>
      <c r="H44" s="8">
        <v>2004</v>
      </c>
      <c r="I44" s="9">
        <v>-21.333572648643798</v>
      </c>
      <c r="J44" s="9">
        <v>3.50062658044925</v>
      </c>
      <c r="M44" s="8">
        <v>34</v>
      </c>
      <c r="N44" s="9">
        <v>-7.36266322546168</v>
      </c>
      <c r="O44" s="9">
        <v>9.5594999133604992E-3</v>
      </c>
      <c r="P44" s="9">
        <v>-5.8825913591759302E-2</v>
      </c>
      <c r="Q44" s="9">
        <v>6.5913346707883796E-3</v>
      </c>
      <c r="R44" s="9">
        <v>0</v>
      </c>
      <c r="T44" s="8">
        <v>2004</v>
      </c>
      <c r="U44" s="9">
        <v>-20.770805551731701</v>
      </c>
      <c r="V44" s="9">
        <v>5.1179767575914203</v>
      </c>
      <c r="W44" s="14"/>
    </row>
    <row r="45" spans="1:23" ht="14.25" customHeight="1" x14ac:dyDescent="0.2">
      <c r="A45" s="8">
        <v>35</v>
      </c>
      <c r="B45" s="9">
        <v>-6.6033855104225401</v>
      </c>
      <c r="C45" s="9">
        <v>7.9188855226190701E-3</v>
      </c>
      <c r="D45" s="9">
        <v>-0.349116120040811</v>
      </c>
      <c r="E45" s="9">
        <v>3.9954854352163699E-3</v>
      </c>
      <c r="F45" s="9">
        <v>0</v>
      </c>
      <c r="G45" s="2">
        <v>0</v>
      </c>
      <c r="H45" s="8">
        <v>2005</v>
      </c>
      <c r="I45" s="9">
        <v>-23.163238028461699</v>
      </c>
      <c r="J45" s="9">
        <v>3.8035197112108401</v>
      </c>
      <c r="M45" s="8">
        <v>35</v>
      </c>
      <c r="N45" s="9">
        <v>-7.2733165431038103</v>
      </c>
      <c r="O45" s="9">
        <v>9.5951503003675297E-3</v>
      </c>
      <c r="P45" s="9">
        <v>-7.6550738089267198E-2</v>
      </c>
      <c r="Q45" s="9">
        <v>4.8700106682131802E-3</v>
      </c>
      <c r="R45" s="9">
        <v>0</v>
      </c>
      <c r="T45" s="8">
        <v>2005</v>
      </c>
      <c r="U45" s="9">
        <v>-21.6495125820251</v>
      </c>
      <c r="V45" s="9">
        <v>3.9199782744363501</v>
      </c>
      <c r="W45" s="14"/>
    </row>
    <row r="46" spans="1:23" ht="14.25" customHeight="1" x14ac:dyDescent="0.2">
      <c r="A46" s="8">
        <v>36</v>
      </c>
      <c r="B46" s="9">
        <v>-6.5330706060450199</v>
      </c>
      <c r="C46" s="9">
        <v>8.0175774602394296E-3</v>
      </c>
      <c r="D46" s="9">
        <v>-0.37462385436184298</v>
      </c>
      <c r="E46" s="9">
        <v>-7.1708883709098198E-4</v>
      </c>
      <c r="F46" s="9">
        <v>0</v>
      </c>
      <c r="G46" s="2">
        <v>0</v>
      </c>
      <c r="H46" s="8">
        <v>2006</v>
      </c>
      <c r="I46" s="9">
        <v>-26.946784373535799</v>
      </c>
      <c r="J46" s="9">
        <v>2.86060558290127</v>
      </c>
      <c r="M46" s="8">
        <v>36</v>
      </c>
      <c r="N46" s="9">
        <v>-7.1884664268619201</v>
      </c>
      <c r="O46" s="9">
        <v>9.6808242040486506E-3</v>
      </c>
      <c r="P46" s="9">
        <v>-6.6064596275333898E-2</v>
      </c>
      <c r="Q46" s="9">
        <v>5.3151126138819603E-3</v>
      </c>
      <c r="R46" s="9">
        <v>0</v>
      </c>
      <c r="T46" s="8">
        <v>2006</v>
      </c>
      <c r="U46" s="9">
        <v>-25.0694112161876</v>
      </c>
      <c r="V46" s="9">
        <v>4.6499335364026999</v>
      </c>
      <c r="W46" s="14"/>
    </row>
    <row r="47" spans="1:23" ht="14.25" customHeight="1" x14ac:dyDescent="0.2">
      <c r="A47" s="8">
        <v>37</v>
      </c>
      <c r="B47" s="9">
        <v>-6.4592263464533399</v>
      </c>
      <c r="C47" s="9">
        <v>8.2890542952938403E-3</v>
      </c>
      <c r="D47" s="9">
        <v>-0.35847350234713599</v>
      </c>
      <c r="E47" s="9">
        <v>8.1181980729065698E-3</v>
      </c>
      <c r="F47" s="9">
        <v>0</v>
      </c>
      <c r="G47" s="2">
        <v>0</v>
      </c>
      <c r="H47" s="8">
        <v>2007</v>
      </c>
      <c r="I47" s="9">
        <v>-29.187637349219099</v>
      </c>
      <c r="J47" s="9">
        <v>1.8962538938062701</v>
      </c>
      <c r="M47" s="8">
        <v>37</v>
      </c>
      <c r="N47" s="9">
        <v>-7.1019662659170102</v>
      </c>
      <c r="O47" s="9">
        <v>9.4457289005793598E-3</v>
      </c>
      <c r="P47" s="9">
        <v>-8.4142278259520295E-2</v>
      </c>
      <c r="Q47" s="9">
        <v>1.2748036868388799E-2</v>
      </c>
      <c r="R47" s="9">
        <v>0</v>
      </c>
      <c r="T47" s="8">
        <v>2007</v>
      </c>
      <c r="U47" s="9">
        <v>-27.080097172684098</v>
      </c>
      <c r="V47" s="9">
        <v>2.7347540974504301</v>
      </c>
      <c r="W47" s="14"/>
    </row>
    <row r="48" spans="1:23" ht="14.25" customHeight="1" x14ac:dyDescent="0.2">
      <c r="A48" s="8">
        <v>38</v>
      </c>
      <c r="B48" s="9">
        <v>-6.3805757043711999</v>
      </c>
      <c r="C48" s="9">
        <v>8.4170031600987096E-3</v>
      </c>
      <c r="D48" s="9">
        <v>-0.36832491551674601</v>
      </c>
      <c r="E48" s="9">
        <v>1.1832461149943199E-2</v>
      </c>
      <c r="F48" s="9">
        <v>0</v>
      </c>
      <c r="G48" s="2">
        <v>0</v>
      </c>
      <c r="H48" s="8">
        <v>2008</v>
      </c>
      <c r="I48" s="9">
        <v>-31.269281547375599</v>
      </c>
      <c r="J48" s="9">
        <v>0.94035211668801</v>
      </c>
      <c r="M48" s="8">
        <v>38</v>
      </c>
      <c r="N48" s="9">
        <v>-7.0106359293659803</v>
      </c>
      <c r="O48" s="9">
        <v>9.4127455689303804E-3</v>
      </c>
      <c r="P48" s="9">
        <v>-7.6393364771805097E-2</v>
      </c>
      <c r="Q48" s="9">
        <v>9.3555565129239196E-3</v>
      </c>
      <c r="R48" s="9">
        <v>0</v>
      </c>
      <c r="T48" s="8">
        <v>2008</v>
      </c>
      <c r="U48" s="9">
        <v>-27.673953314813598</v>
      </c>
      <c r="V48" s="9">
        <v>3.1406803747957799</v>
      </c>
      <c r="W48" s="14"/>
    </row>
    <row r="49" spans="1:23" ht="14.25" customHeight="1" x14ac:dyDescent="0.2">
      <c r="A49" s="8">
        <v>39</v>
      </c>
      <c r="B49" s="9">
        <v>-6.2926588672248096</v>
      </c>
      <c r="C49" s="9">
        <v>8.4974329111123306E-3</v>
      </c>
      <c r="D49" s="9">
        <v>-0.359600991296885</v>
      </c>
      <c r="E49" s="9">
        <v>1.5811563592944999E-2</v>
      </c>
      <c r="F49" s="9">
        <v>0</v>
      </c>
      <c r="G49" s="2">
        <v>0</v>
      </c>
      <c r="H49" s="8">
        <v>2009</v>
      </c>
      <c r="I49" s="9">
        <v>-33.657919851602003</v>
      </c>
      <c r="J49" s="9">
        <v>0.45964038137947899</v>
      </c>
      <c r="M49" s="8">
        <v>39</v>
      </c>
      <c r="N49" s="9">
        <v>-6.9123737139610801</v>
      </c>
      <c r="O49" s="9">
        <v>9.2381516861355303E-3</v>
      </c>
      <c r="P49" s="9">
        <v>-7.7944718167302099E-2</v>
      </c>
      <c r="Q49" s="9">
        <v>9.1071300956006504E-3</v>
      </c>
      <c r="R49" s="9">
        <v>0</v>
      </c>
      <c r="T49" s="8">
        <v>2009</v>
      </c>
      <c r="U49" s="9">
        <v>-30.200272147991399</v>
      </c>
      <c r="V49" s="9">
        <v>1.85053254415392</v>
      </c>
      <c r="W49" s="14"/>
    </row>
    <row r="50" spans="1:23" ht="14.25" customHeight="1" x14ac:dyDescent="0.2">
      <c r="A50" s="8">
        <v>40</v>
      </c>
      <c r="B50" s="9">
        <v>-6.2015605373057303</v>
      </c>
      <c r="C50" s="9">
        <v>8.7001742515588499E-3</v>
      </c>
      <c r="D50" s="9">
        <v>-0.36126566778963998</v>
      </c>
      <c r="E50" s="9">
        <v>7.2178397300945102E-3</v>
      </c>
      <c r="F50" s="9">
        <v>0</v>
      </c>
      <c r="G50" s="2">
        <v>0</v>
      </c>
      <c r="H50" s="8">
        <v>2010</v>
      </c>
      <c r="I50" s="9">
        <v>-36.089889459179503</v>
      </c>
      <c r="J50" s="9">
        <v>8.17986088269963E-2</v>
      </c>
      <c r="M50" s="8">
        <v>40</v>
      </c>
      <c r="N50" s="9">
        <v>-6.8195552610741901</v>
      </c>
      <c r="O50" s="9">
        <v>9.4670583676032209E-3</v>
      </c>
      <c r="P50" s="9">
        <v>-3.99703104111939E-2</v>
      </c>
      <c r="Q50" s="9">
        <v>8.1662486025884402E-3</v>
      </c>
      <c r="R50" s="9">
        <v>0</v>
      </c>
      <c r="T50" s="8">
        <v>2010</v>
      </c>
      <c r="U50" s="9">
        <v>-32.120823502903498</v>
      </c>
      <c r="V50" s="9">
        <v>2.5955903514263898</v>
      </c>
      <c r="W50" s="14"/>
    </row>
    <row r="51" spans="1:23" ht="14.25" customHeight="1" x14ac:dyDescent="0.2">
      <c r="A51" s="8">
        <v>41</v>
      </c>
      <c r="B51" s="9">
        <v>-6.1132952971673804</v>
      </c>
      <c r="C51" s="9">
        <v>8.7678384277021394E-3</v>
      </c>
      <c r="D51" s="9">
        <v>-0.35633780252222802</v>
      </c>
      <c r="E51" s="9">
        <v>8.5188433803280901E-3</v>
      </c>
      <c r="F51" s="9">
        <v>0</v>
      </c>
      <c r="G51" s="2">
        <v>0</v>
      </c>
      <c r="H51" s="8">
        <v>2011</v>
      </c>
      <c r="I51" s="9">
        <v>-40.122881553745003</v>
      </c>
      <c r="J51" s="9">
        <v>-1.3267563954852001E-2</v>
      </c>
      <c r="M51" s="8">
        <v>41</v>
      </c>
      <c r="N51" s="9">
        <v>-6.7238060026598703</v>
      </c>
      <c r="O51" s="9">
        <v>9.1396756740483292E-3</v>
      </c>
      <c r="P51" s="9">
        <v>-4.5358236909057902E-2</v>
      </c>
      <c r="Q51" s="9">
        <v>1.2834560604884001E-2</v>
      </c>
      <c r="R51" s="9">
        <v>0</v>
      </c>
      <c r="T51" s="8">
        <v>2011</v>
      </c>
      <c r="U51" s="9">
        <v>-35.950816962243202</v>
      </c>
      <c r="V51" s="9">
        <v>3.9858884996947399</v>
      </c>
      <c r="W51" s="14"/>
    </row>
    <row r="52" spans="1:23" ht="14.25" customHeight="1" x14ac:dyDescent="0.2">
      <c r="A52" s="8">
        <v>42</v>
      </c>
      <c r="B52" s="9">
        <v>-6.0193203018500796</v>
      </c>
      <c r="C52" s="9">
        <v>9.0068796414001905E-3</v>
      </c>
      <c r="D52" s="9">
        <v>-0.33686500937399799</v>
      </c>
      <c r="E52" s="9">
        <v>1.36466326594503E-2</v>
      </c>
      <c r="F52" s="9">
        <v>0</v>
      </c>
      <c r="G52" s="2">
        <v>0</v>
      </c>
      <c r="H52" s="8">
        <v>2012</v>
      </c>
      <c r="I52" s="9">
        <v>-41.1154931233932</v>
      </c>
      <c r="J52" s="9">
        <v>0.73169425017076695</v>
      </c>
      <c r="M52" s="8">
        <v>42</v>
      </c>
      <c r="N52" s="9">
        <v>-6.6257848444385301</v>
      </c>
      <c r="O52" s="9">
        <v>9.1898774804287393E-3</v>
      </c>
      <c r="P52" s="9">
        <v>-4.1465104428906899E-2</v>
      </c>
      <c r="Q52" s="9">
        <v>1.38489974200845E-2</v>
      </c>
      <c r="R52" s="9">
        <v>0</v>
      </c>
      <c r="T52" s="8">
        <v>2012</v>
      </c>
      <c r="U52" s="9">
        <v>-35.227078476798198</v>
      </c>
      <c r="V52" s="9">
        <v>3.8349167961650199</v>
      </c>
      <c r="W52" s="14"/>
    </row>
    <row r="53" spans="1:23" ht="14.25" customHeight="1" x14ac:dyDescent="0.2">
      <c r="A53" s="8">
        <v>43</v>
      </c>
      <c r="B53" s="9">
        <v>-5.9234853833103998</v>
      </c>
      <c r="C53" s="9">
        <v>8.9954725836135507E-3</v>
      </c>
      <c r="D53" s="9">
        <v>-0.33391384831991999</v>
      </c>
      <c r="E53" s="9">
        <v>1.5592318857526599E-2</v>
      </c>
      <c r="F53" s="9">
        <v>0</v>
      </c>
      <c r="G53" s="2">
        <v>0</v>
      </c>
      <c r="H53" s="8">
        <v>2013</v>
      </c>
      <c r="I53" s="9">
        <v>-42.4767854994858</v>
      </c>
      <c r="J53" s="9">
        <v>-0.51799136298125004</v>
      </c>
      <c r="M53" s="8">
        <v>43</v>
      </c>
      <c r="N53" s="9">
        <v>-6.5219381023939</v>
      </c>
      <c r="O53" s="9">
        <v>9.1627402069440599E-3</v>
      </c>
      <c r="P53" s="9">
        <v>-4.2132552618115299E-2</v>
      </c>
      <c r="Q53" s="9">
        <v>7.0418791101754599E-3</v>
      </c>
      <c r="R53" s="9">
        <v>0</v>
      </c>
      <c r="T53" s="8">
        <v>2013</v>
      </c>
      <c r="U53" s="9">
        <v>-36.485903789178103</v>
      </c>
      <c r="V53" s="9">
        <v>3.07139855815312</v>
      </c>
      <c r="W53" s="14"/>
    </row>
    <row r="54" spans="1:23" ht="14.25" customHeight="1" x14ac:dyDescent="0.2">
      <c r="A54" s="8">
        <v>44</v>
      </c>
      <c r="B54" s="9">
        <v>-5.8299949210394102</v>
      </c>
      <c r="C54" s="9">
        <v>9.0478000775506499E-3</v>
      </c>
      <c r="D54" s="9">
        <v>-0.31833323709991002</v>
      </c>
      <c r="E54" s="9">
        <v>6.0166607253197297E-3</v>
      </c>
      <c r="F54" s="9">
        <v>0</v>
      </c>
      <c r="G54" s="2">
        <v>0</v>
      </c>
      <c r="H54" s="8">
        <v>2014</v>
      </c>
      <c r="I54" s="9">
        <v>-46.982254664680603</v>
      </c>
      <c r="J54" s="9">
        <v>-1.3806743464017199</v>
      </c>
      <c r="M54" s="8">
        <v>44</v>
      </c>
      <c r="N54" s="9">
        <v>-6.4293156841621801</v>
      </c>
      <c r="O54" s="9">
        <v>9.0476685408391998E-3</v>
      </c>
      <c r="P54" s="9">
        <v>-3.0193593774821899E-2</v>
      </c>
      <c r="Q54" s="9">
        <v>1.5839288697503E-2</v>
      </c>
      <c r="R54" s="9">
        <v>0</v>
      </c>
      <c r="T54" s="8">
        <v>2014</v>
      </c>
      <c r="U54" s="9">
        <v>-41.251148099637497</v>
      </c>
      <c r="V54" s="9">
        <v>3.7513800914238198</v>
      </c>
      <c r="W54" s="14"/>
    </row>
    <row r="55" spans="1:23" ht="14.25" customHeight="1" x14ac:dyDescent="0.2">
      <c r="A55" s="8">
        <v>45</v>
      </c>
      <c r="B55" s="9">
        <v>-5.7303520887214798</v>
      </c>
      <c r="C55" s="9">
        <v>9.0918902391297508E-3</v>
      </c>
      <c r="D55" s="9">
        <v>-0.338517109148119</v>
      </c>
      <c r="E55" s="9">
        <v>7.3578879991632196E-3</v>
      </c>
      <c r="F55" s="9">
        <v>0</v>
      </c>
      <c r="G55" s="2">
        <v>0</v>
      </c>
      <c r="H55" s="8">
        <v>2015</v>
      </c>
      <c r="I55" s="9">
        <v>-44.8349146181775</v>
      </c>
      <c r="J55" s="9">
        <v>-0.74736559326534302</v>
      </c>
      <c r="M55" s="8">
        <v>45</v>
      </c>
      <c r="N55" s="9">
        <v>-6.3315731444590702</v>
      </c>
      <c r="O55" s="9">
        <v>8.8553530230531599E-3</v>
      </c>
      <c r="P55" s="9">
        <v>-3.0600995676559599E-2</v>
      </c>
      <c r="Q55" s="9">
        <v>9.7721613524332698E-3</v>
      </c>
      <c r="R55" s="9">
        <v>0</v>
      </c>
      <c r="T55" s="8">
        <v>2015</v>
      </c>
      <c r="U55" s="9">
        <v>-37.882562131372502</v>
      </c>
      <c r="V55" s="9">
        <v>3.66983649181905</v>
      </c>
      <c r="W55" s="14"/>
    </row>
    <row r="56" spans="1:23" ht="14.25" customHeight="1" x14ac:dyDescent="0.2">
      <c r="A56" s="8">
        <v>46</v>
      </c>
      <c r="B56" s="9">
        <v>-5.6370481579389002</v>
      </c>
      <c r="C56" s="9">
        <v>9.14402902263272E-3</v>
      </c>
      <c r="D56" s="9">
        <v>-0.33184154124538201</v>
      </c>
      <c r="E56" s="9">
        <v>8.5104722458518699E-3</v>
      </c>
      <c r="F56" s="9">
        <v>0</v>
      </c>
      <c r="G56" s="2">
        <v>0</v>
      </c>
      <c r="H56" s="8">
        <v>2016</v>
      </c>
      <c r="I56" s="9">
        <v>-47.656309962921398</v>
      </c>
      <c r="J56" s="9">
        <v>-0.35838818797533001</v>
      </c>
      <c r="M56" s="8">
        <v>46</v>
      </c>
      <c r="N56" s="9">
        <v>-6.2353606302481497</v>
      </c>
      <c r="O56" s="9">
        <v>8.7344290455216907E-3</v>
      </c>
      <c r="P56" s="9">
        <v>-5.4445258134805396E-4</v>
      </c>
      <c r="Q56" s="9">
        <v>1.7569646241924398E-2</v>
      </c>
      <c r="R56" s="9">
        <v>0</v>
      </c>
      <c r="T56" s="8">
        <v>2016</v>
      </c>
      <c r="U56" s="9">
        <v>-40.929280644542899</v>
      </c>
      <c r="V56" s="9">
        <v>5.0552832611837601</v>
      </c>
      <c r="W56" s="14"/>
    </row>
    <row r="57" spans="1:23" ht="14.25" customHeight="1" x14ac:dyDescent="0.2">
      <c r="A57" s="8">
        <v>47</v>
      </c>
      <c r="B57" s="9">
        <v>-5.5399181615964403</v>
      </c>
      <c r="C57" s="9">
        <v>9.0777278834190192E-3</v>
      </c>
      <c r="D57" s="9">
        <v>-0.3073963657828</v>
      </c>
      <c r="E57" s="9">
        <v>1.9438642738135201E-2</v>
      </c>
      <c r="F57" s="9">
        <v>0</v>
      </c>
      <c r="G57" s="2">
        <v>0</v>
      </c>
      <c r="H57" s="8">
        <v>2017</v>
      </c>
      <c r="I57" s="9">
        <v>-49.022308682963697</v>
      </c>
      <c r="J57" s="9">
        <v>-0.919574313319374</v>
      </c>
      <c r="M57" s="8">
        <v>47</v>
      </c>
      <c r="N57" s="9">
        <v>-6.1394435773197502</v>
      </c>
      <c r="O57" s="9">
        <v>8.7592121260373201E-3</v>
      </c>
      <c r="P57" s="9">
        <v>-3.45352400555754E-3</v>
      </c>
      <c r="Q57" s="9">
        <v>1.7501043287691899E-2</v>
      </c>
      <c r="R57" s="9">
        <v>0</v>
      </c>
      <c r="T57" s="8">
        <v>2017</v>
      </c>
      <c r="U57" s="9">
        <v>-41.335807315500702</v>
      </c>
      <c r="V57" s="9">
        <v>4.21458958955931</v>
      </c>
      <c r="W57" s="14"/>
    </row>
    <row r="58" spans="1:23" ht="14.25" customHeight="1" x14ac:dyDescent="0.2">
      <c r="A58" s="8">
        <v>48</v>
      </c>
      <c r="B58" s="9">
        <v>-5.4469557153398904</v>
      </c>
      <c r="C58" s="9">
        <v>9.1085961254137801E-3</v>
      </c>
      <c r="D58" s="9">
        <v>-0.29177355190322801</v>
      </c>
      <c r="E58" s="9">
        <v>6.6088594556535998E-3</v>
      </c>
      <c r="F58" s="9">
        <v>0</v>
      </c>
      <c r="G58" s="2">
        <v>0</v>
      </c>
      <c r="H58" s="8">
        <v>2018</v>
      </c>
      <c r="I58" s="9">
        <v>-49.590430071234898</v>
      </c>
      <c r="J58" s="9">
        <v>-1.3495093701879199</v>
      </c>
      <c r="M58" s="8">
        <v>48</v>
      </c>
      <c r="N58" s="9">
        <v>-6.0452900356500399</v>
      </c>
      <c r="O58" s="9">
        <v>8.7895875197557295E-3</v>
      </c>
      <c r="P58" s="9">
        <v>-1.2989459130778899E-3</v>
      </c>
      <c r="Q58" s="9">
        <v>1.46068413517661E-2</v>
      </c>
      <c r="R58" s="9">
        <v>0</v>
      </c>
      <c r="T58" s="8">
        <v>2018</v>
      </c>
      <c r="U58" s="9">
        <v>-41.716254500954904</v>
      </c>
      <c r="V58" s="9">
        <v>4.6763403791668603</v>
      </c>
      <c r="W58" s="14"/>
    </row>
    <row r="59" spans="1:23" ht="14.25" customHeight="1" x14ac:dyDescent="0.2">
      <c r="A59" s="8">
        <v>49</v>
      </c>
      <c r="B59" s="9">
        <v>-5.3469928960741697</v>
      </c>
      <c r="C59" s="9">
        <v>9.1083944190360408E-3</v>
      </c>
      <c r="D59" s="9">
        <v>-0.29293644793838097</v>
      </c>
      <c r="E59" s="9">
        <v>1.02385152347708E-2</v>
      </c>
      <c r="F59" s="9">
        <v>0</v>
      </c>
      <c r="G59" s="2">
        <v>0</v>
      </c>
      <c r="H59" s="8">
        <f>H58+1</f>
        <v>2019</v>
      </c>
      <c r="I59" s="9">
        <v>-52.913827068096097</v>
      </c>
      <c r="J59" s="9">
        <v>-1.4207413204967601</v>
      </c>
      <c r="M59" s="8">
        <v>49</v>
      </c>
      <c r="N59" s="9">
        <v>-5.9546593207032696</v>
      </c>
      <c r="O59" s="9">
        <v>8.7187468453759197E-3</v>
      </c>
      <c r="P59" s="9">
        <v>-1.1108018359562899E-2</v>
      </c>
      <c r="Q59" s="9">
        <v>1.5650118827238501E-2</v>
      </c>
      <c r="R59" s="9">
        <v>0</v>
      </c>
      <c r="T59" s="8">
        <v>2019</v>
      </c>
      <c r="U59" s="9">
        <v>-45.083489117393697</v>
      </c>
      <c r="V59" s="9">
        <v>4.5929788316020703</v>
      </c>
      <c r="W59" s="14"/>
    </row>
    <row r="60" spans="1:23" ht="14.25" customHeight="1" x14ac:dyDescent="0.2">
      <c r="A60" s="8">
        <v>50</v>
      </c>
      <c r="B60" s="9">
        <v>-5.2469232514702497</v>
      </c>
      <c r="C60" s="9">
        <v>9.2422154667788307E-3</v>
      </c>
      <c r="D60" s="9">
        <v>-0.28225142076569798</v>
      </c>
      <c r="E60" s="9">
        <v>7.7459171107351196E-3</v>
      </c>
      <c r="F60" s="9">
        <v>0</v>
      </c>
      <c r="G60" s="2">
        <v>0</v>
      </c>
      <c r="H60" s="8">
        <f t="shared" ref="H60:H61" si="0">H59+1</f>
        <v>2020</v>
      </c>
      <c r="J60" s="4"/>
      <c r="M60" s="8">
        <v>50</v>
      </c>
      <c r="N60" s="9">
        <v>-5.8606127516399704</v>
      </c>
      <c r="O60" s="9">
        <v>8.5834873725553103E-3</v>
      </c>
      <c r="P60" s="9">
        <v>-2.89167736095024E-2</v>
      </c>
      <c r="Q60" s="9">
        <v>1.7600371289115499E-2</v>
      </c>
      <c r="R60" s="9">
        <v>0</v>
      </c>
      <c r="T60" s="8">
        <f t="shared" ref="T60:T63" si="1">T59+1</f>
        <v>2020</v>
      </c>
      <c r="V60" s="4"/>
      <c r="W60" s="14"/>
    </row>
    <row r="61" spans="1:23" ht="14.25" customHeight="1" x14ac:dyDescent="0.2">
      <c r="A61" s="8">
        <v>51</v>
      </c>
      <c r="B61" s="9">
        <v>-5.1564225595534801</v>
      </c>
      <c r="C61" s="9">
        <v>9.1211665784459092E-3</v>
      </c>
      <c r="D61" s="9">
        <v>-0.266608382847981</v>
      </c>
      <c r="E61" s="9">
        <v>6.3709537234235402E-3</v>
      </c>
      <c r="F61" s="9">
        <v>0</v>
      </c>
      <c r="G61" s="2">
        <v>0</v>
      </c>
      <c r="H61" s="8">
        <f t="shared" si="0"/>
        <v>2021</v>
      </c>
      <c r="J61" s="4"/>
      <c r="M61" s="8">
        <v>51</v>
      </c>
      <c r="N61" s="9">
        <v>-5.7795512228741597</v>
      </c>
      <c r="O61" s="9">
        <v>8.2745667611108104E-3</v>
      </c>
      <c r="P61" s="9">
        <v>3.8554662885985601E-3</v>
      </c>
      <c r="Q61" s="9">
        <v>1.6602253581198299E-2</v>
      </c>
      <c r="R61" s="9">
        <v>0</v>
      </c>
      <c r="T61" s="8">
        <f t="shared" si="1"/>
        <v>2021</v>
      </c>
      <c r="V61" s="4"/>
      <c r="W61" s="14"/>
    </row>
    <row r="62" spans="1:23" ht="14.25" customHeight="1" x14ac:dyDescent="0.25">
      <c r="A62" s="8">
        <v>52</v>
      </c>
      <c r="B62" s="9">
        <v>-5.0606376012875698</v>
      </c>
      <c r="C62" s="9">
        <v>9.1217195838897997E-3</v>
      </c>
      <c r="D62" s="9">
        <v>-0.25616300951644899</v>
      </c>
      <c r="E62" s="9">
        <v>5.3654310421181297E-3</v>
      </c>
      <c r="F62" s="9">
        <v>0</v>
      </c>
      <c r="G62" s="2">
        <v>0</v>
      </c>
      <c r="H62" s="8">
        <f>H61+1</f>
        <v>2022</v>
      </c>
      <c r="J62" s="4"/>
      <c r="K62" s="9">
        <v>1.54678557447261</v>
      </c>
      <c r="L62" s="13"/>
      <c r="M62" s="8">
        <v>52</v>
      </c>
      <c r="N62" s="9">
        <v>-5.6901547165706798</v>
      </c>
      <c r="O62" s="9">
        <v>8.3846329701969691E-3</v>
      </c>
      <c r="P62" s="9">
        <v>1.60638884991595E-2</v>
      </c>
      <c r="Q62" s="9">
        <v>1.4799458073054699E-2</v>
      </c>
      <c r="R62" s="9">
        <v>0</v>
      </c>
      <c r="T62" s="8">
        <f t="shared" si="1"/>
        <v>2022</v>
      </c>
      <c r="V62" s="4"/>
      <c r="W62" s="9">
        <v>3.45722029886781</v>
      </c>
    </row>
    <row r="63" spans="1:23" ht="14.25" customHeight="1" x14ac:dyDescent="0.25">
      <c r="A63" s="8">
        <v>53</v>
      </c>
      <c r="B63" s="9">
        <v>-4.9680006817802003</v>
      </c>
      <c r="C63" s="9">
        <v>9.0677558397683506E-3</v>
      </c>
      <c r="D63" s="9">
        <v>-0.23473006289620099</v>
      </c>
      <c r="E63" s="9">
        <v>-4.5331992697521797E-3</v>
      </c>
      <c r="F63" s="9">
        <v>0</v>
      </c>
      <c r="G63" s="2">
        <v>0</v>
      </c>
      <c r="H63" s="8">
        <f>H62+1</f>
        <v>2023</v>
      </c>
      <c r="J63" s="4"/>
      <c r="K63" s="9">
        <v>1.3083759762760001</v>
      </c>
      <c r="L63" s="13"/>
      <c r="M63" s="8">
        <v>53</v>
      </c>
      <c r="N63" s="9">
        <v>-5.61363872851837</v>
      </c>
      <c r="O63" s="9">
        <v>8.2240882896496299E-3</v>
      </c>
      <c r="P63" s="9">
        <v>-5.4267088203534498E-3</v>
      </c>
      <c r="Q63" s="9">
        <v>1.69961040606024E-2</v>
      </c>
      <c r="R63" s="9">
        <v>0</v>
      </c>
      <c r="T63" s="8">
        <f t="shared" si="1"/>
        <v>2023</v>
      </c>
      <c r="V63" s="4"/>
      <c r="W63" s="9">
        <v>3.3634140476343202</v>
      </c>
    </row>
    <row r="64" spans="1:23" ht="14.25" customHeight="1" x14ac:dyDescent="0.2">
      <c r="A64" s="8">
        <v>54</v>
      </c>
      <c r="B64" s="9">
        <v>-4.8707056195491303</v>
      </c>
      <c r="C64" s="9">
        <v>9.0976153152973506E-3</v>
      </c>
      <c r="D64" s="9">
        <v>-0.23511574240192201</v>
      </c>
      <c r="E64" s="9">
        <v>-5.1533879357536696E-3</v>
      </c>
      <c r="F64" s="9">
        <v>0</v>
      </c>
      <c r="G64" s="2">
        <v>0</v>
      </c>
      <c r="J64" s="4"/>
      <c r="K64" s="15"/>
      <c r="M64" s="8">
        <v>54</v>
      </c>
      <c r="N64" s="9">
        <v>-5.52967845249007</v>
      </c>
      <c r="O64" s="9">
        <v>8.1511034439558198E-3</v>
      </c>
      <c r="P64" s="9">
        <v>1.46451404707371E-2</v>
      </c>
      <c r="Q64" s="9">
        <v>1.26677368191621E-2</v>
      </c>
      <c r="R64" s="9">
        <v>0</v>
      </c>
      <c r="V64" s="4"/>
      <c r="W64" s="4"/>
    </row>
    <row r="65" spans="1:23" ht="14.25" customHeight="1" x14ac:dyDescent="0.2">
      <c r="A65" s="8">
        <v>55</v>
      </c>
      <c r="B65" s="9">
        <v>-4.7787200105883301</v>
      </c>
      <c r="C65" s="9">
        <v>9.10687715030567E-3</v>
      </c>
      <c r="D65" s="9">
        <v>-0.21076757532861601</v>
      </c>
      <c r="E65" s="9">
        <v>-2.7607762772944001E-3</v>
      </c>
      <c r="F65" s="9">
        <v>2.6478579690840099E-2</v>
      </c>
      <c r="G65" s="2">
        <v>0</v>
      </c>
      <c r="H65" s="10" t="s">
        <v>18</v>
      </c>
      <c r="I65" s="9">
        <v>-1.9880523823405301</v>
      </c>
      <c r="J65" s="4"/>
      <c r="K65" s="4"/>
      <c r="M65" s="8">
        <v>55</v>
      </c>
      <c r="N65" s="9">
        <v>-5.4458008345967404</v>
      </c>
      <c r="O65" s="9">
        <v>7.9910158678087404E-3</v>
      </c>
      <c r="P65" s="9">
        <v>2.5870677701522698E-3</v>
      </c>
      <c r="Q65" s="9">
        <v>1.49538705629096E-2</v>
      </c>
      <c r="R65" s="9">
        <v>-1.24150255481216E-2</v>
      </c>
      <c r="T65" s="10" t="s">
        <v>18</v>
      </c>
      <c r="U65" s="9">
        <v>-1.8862254072122999</v>
      </c>
      <c r="V65" s="4"/>
      <c r="W65" s="4"/>
    </row>
    <row r="66" spans="1:23" ht="14.25" customHeight="1" x14ac:dyDescent="0.2">
      <c r="A66" s="8">
        <v>56</v>
      </c>
      <c r="B66" s="9">
        <v>-4.6873615807203102</v>
      </c>
      <c r="C66" s="9">
        <v>9.0823116240064897E-3</v>
      </c>
      <c r="D66" s="9">
        <v>-0.20681106639105501</v>
      </c>
      <c r="E66" s="9">
        <v>-3.29642414553036E-3</v>
      </c>
      <c r="F66" s="9">
        <v>4.8662247803845397E-3</v>
      </c>
      <c r="G66" s="2">
        <v>0</v>
      </c>
      <c r="H66" s="10" t="s">
        <v>19</v>
      </c>
      <c r="I66" s="9">
        <v>0.92777120354868703</v>
      </c>
      <c r="J66" s="4"/>
      <c r="K66" s="4"/>
      <c r="M66" s="8">
        <v>56</v>
      </c>
      <c r="N66" s="9">
        <v>-5.3651872140294499</v>
      </c>
      <c r="O66" s="9">
        <v>8.0121360423156696E-3</v>
      </c>
      <c r="P66" s="9">
        <v>1.7572034052298201E-2</v>
      </c>
      <c r="Q66" s="9">
        <v>1.19119194371782E-2</v>
      </c>
      <c r="R66" s="9">
        <v>-2.6868910646676201E-3</v>
      </c>
      <c r="T66" s="10" t="s">
        <v>19</v>
      </c>
      <c r="U66" s="9">
        <v>0.94233203403267196</v>
      </c>
      <c r="V66" s="4"/>
      <c r="W66" s="4"/>
    </row>
    <row r="67" spans="1:23" ht="14.25" customHeight="1" x14ac:dyDescent="0.2">
      <c r="A67" s="8">
        <v>57</v>
      </c>
      <c r="B67" s="9">
        <v>-4.593627779398</v>
      </c>
      <c r="C67" s="9">
        <v>9.1894087311169305E-3</v>
      </c>
      <c r="D67" s="9">
        <v>-0.17834770518272999</v>
      </c>
      <c r="E67" s="9">
        <v>-7.1951902308638903E-3</v>
      </c>
      <c r="F67" s="9">
        <v>-2.0091371552068498E-3</v>
      </c>
      <c r="G67" s="2">
        <v>0</v>
      </c>
      <c r="H67" s="10" t="s">
        <v>20</v>
      </c>
      <c r="I67" s="9">
        <v>0.21795197134475799</v>
      </c>
      <c r="J67" s="4"/>
      <c r="K67" s="4"/>
      <c r="M67" s="8">
        <v>57</v>
      </c>
      <c r="N67" s="9">
        <v>-5.2784920150113797</v>
      </c>
      <c r="O67" s="9">
        <v>8.0202037472280503E-3</v>
      </c>
      <c r="P67" s="9">
        <v>1.41577394983781E-2</v>
      </c>
      <c r="Q67" s="9">
        <v>1.2491630475784001E-2</v>
      </c>
      <c r="R67" s="9">
        <v>-8.3222482208195302E-3</v>
      </c>
      <c r="T67" s="10" t="s">
        <v>20</v>
      </c>
      <c r="U67" s="9">
        <v>0.41670745465702003</v>
      </c>
      <c r="V67" s="4"/>
      <c r="W67" s="4"/>
    </row>
    <row r="68" spans="1:23" ht="14.25" customHeight="1" x14ac:dyDescent="0.2">
      <c r="A68" s="8">
        <v>58</v>
      </c>
      <c r="B68" s="9">
        <v>-4.5031903900854298</v>
      </c>
      <c r="C68" s="9">
        <v>9.2588502745914198E-3</v>
      </c>
      <c r="D68" s="9">
        <v>-0.167155897075347</v>
      </c>
      <c r="E68" s="9">
        <v>-4.7159943376538799E-3</v>
      </c>
      <c r="F68" s="9">
        <v>1.6924786264428501E-2</v>
      </c>
      <c r="G68" s="2">
        <v>0</v>
      </c>
      <c r="H68" s="10" t="s">
        <v>21</v>
      </c>
      <c r="I68" s="8">
        <v>0.75</v>
      </c>
      <c r="J68" s="4"/>
      <c r="K68" s="4"/>
      <c r="M68" s="8">
        <v>58</v>
      </c>
      <c r="N68" s="9">
        <v>-5.1950231117086902</v>
      </c>
      <c r="O68" s="9">
        <v>8.2017440247151904E-3</v>
      </c>
      <c r="P68" s="9">
        <v>2.2833740487483201E-2</v>
      </c>
      <c r="Q68" s="9">
        <v>1.4022084326143699E-2</v>
      </c>
      <c r="R68" s="9">
        <v>2.4311437050197702E-3</v>
      </c>
      <c r="T68" s="10" t="s">
        <v>21</v>
      </c>
      <c r="U68" s="8">
        <v>0.75</v>
      </c>
      <c r="V68" s="4"/>
      <c r="W68" s="4"/>
    </row>
    <row r="69" spans="1:23" ht="14.25" customHeight="1" x14ac:dyDescent="0.2">
      <c r="A69" s="8">
        <v>59</v>
      </c>
      <c r="B69" s="9">
        <v>-4.4121466561009104</v>
      </c>
      <c r="C69" s="9">
        <v>9.2710371853051109E-3</v>
      </c>
      <c r="D69" s="9">
        <v>-0.16656031422261999</v>
      </c>
      <c r="E69" s="9">
        <v>-6.7122594641495902E-3</v>
      </c>
      <c r="F69" s="9">
        <v>1.3712542439181001E-4</v>
      </c>
      <c r="G69" s="2">
        <v>0</v>
      </c>
      <c r="J69" s="4"/>
      <c r="K69" s="4"/>
      <c r="M69" s="8">
        <v>59</v>
      </c>
      <c r="N69" s="9">
        <v>-5.10946747573455</v>
      </c>
      <c r="O69" s="9">
        <v>8.14317241575057E-3</v>
      </c>
      <c r="P69" s="9">
        <v>1.2627983528201299E-2</v>
      </c>
      <c r="Q69" s="9">
        <v>1.3752118148415199E-2</v>
      </c>
      <c r="R69" s="9">
        <v>7.4662351526062799E-3</v>
      </c>
      <c r="V69" s="4"/>
      <c r="W69" s="4"/>
    </row>
    <row r="70" spans="1:23" ht="14.25" customHeight="1" x14ac:dyDescent="0.2">
      <c r="A70" s="8">
        <v>60</v>
      </c>
      <c r="B70" s="9">
        <v>-4.3155493563206804</v>
      </c>
      <c r="C70" s="9">
        <v>9.4509111797305995E-3</v>
      </c>
      <c r="D70" s="9">
        <v>-0.144382320439155</v>
      </c>
      <c r="E70" s="9">
        <v>-4.8329704019228004E-3</v>
      </c>
      <c r="F70" s="9">
        <v>3.5763929344836499E-2</v>
      </c>
      <c r="G70" s="2">
        <v>0</v>
      </c>
      <c r="I70" s="4"/>
      <c r="J70" s="4"/>
      <c r="K70" s="4"/>
      <c r="M70" s="8">
        <v>60</v>
      </c>
      <c r="N70" s="9">
        <v>-5.0143295208127299</v>
      </c>
      <c r="O70" s="9">
        <v>8.2360012736620806E-3</v>
      </c>
      <c r="P70" s="9">
        <v>1.9762412577012601E-2</v>
      </c>
      <c r="Q70" s="9">
        <v>1.51633199414637E-2</v>
      </c>
      <c r="R70" s="9">
        <v>1.81267523019726E-3</v>
      </c>
      <c r="U70" s="4"/>
      <c r="V70" s="4"/>
      <c r="W70" s="4"/>
    </row>
    <row r="71" spans="1:23" ht="14.25" customHeight="1" x14ac:dyDescent="0.2">
      <c r="A71" s="8">
        <v>61</v>
      </c>
      <c r="B71" s="9">
        <v>-4.22619201760459</v>
      </c>
      <c r="C71" s="9">
        <v>9.5333642536370704E-3</v>
      </c>
      <c r="D71" s="9">
        <v>-0.13867562455464399</v>
      </c>
      <c r="E71" s="9">
        <v>-3.38547080467056E-3</v>
      </c>
      <c r="F71" s="9">
        <v>-5.9725559159481698E-3</v>
      </c>
      <c r="G71" s="2">
        <v>0</v>
      </c>
      <c r="I71" s="4"/>
      <c r="J71" s="4"/>
      <c r="K71" s="4"/>
      <c r="M71" s="8">
        <v>61</v>
      </c>
      <c r="N71" s="9">
        <v>-4.9309975596495903</v>
      </c>
      <c r="O71" s="9">
        <v>8.2348215918024402E-3</v>
      </c>
      <c r="P71" s="9">
        <v>3.0256765750255699E-2</v>
      </c>
      <c r="Q71" s="9">
        <v>1.25839234076948E-2</v>
      </c>
      <c r="R71" s="9">
        <v>-4.2017454355476802E-3</v>
      </c>
      <c r="U71" s="4"/>
      <c r="V71" s="4"/>
      <c r="W71" s="4"/>
    </row>
    <row r="72" spans="1:23" ht="14.25" customHeight="1" x14ac:dyDescent="0.2">
      <c r="A72" s="8">
        <v>62</v>
      </c>
      <c r="B72" s="9">
        <v>-4.13374184995899</v>
      </c>
      <c r="C72" s="9">
        <v>9.7038512385656892E-3</v>
      </c>
      <c r="D72" s="9">
        <v>-0.11990826627392299</v>
      </c>
      <c r="E72" s="9">
        <v>-4.3334105414543E-3</v>
      </c>
      <c r="F72" s="9">
        <v>1.4149042161397901E-2</v>
      </c>
      <c r="G72" s="2">
        <v>0</v>
      </c>
      <c r="I72" s="4"/>
      <c r="J72" s="4"/>
      <c r="K72" s="4"/>
      <c r="M72" s="8">
        <v>62</v>
      </c>
      <c r="N72" s="9">
        <v>-4.8414782246127599</v>
      </c>
      <c r="O72" s="9">
        <v>8.4893554454421403E-3</v>
      </c>
      <c r="P72" s="9">
        <v>6.9301344146044403E-3</v>
      </c>
      <c r="Q72" s="9">
        <v>1.6668151998160199E-2</v>
      </c>
      <c r="R72" s="9">
        <v>1.15167428651667E-2</v>
      </c>
      <c r="U72" s="4"/>
      <c r="V72" s="4"/>
      <c r="W72" s="4"/>
    </row>
    <row r="73" spans="1:23" ht="14.25" customHeight="1" x14ac:dyDescent="0.2">
      <c r="A73" s="8">
        <v>63</v>
      </c>
      <c r="B73" s="9">
        <v>-4.0432412367167503</v>
      </c>
      <c r="C73" s="9">
        <v>9.8771975115321993E-3</v>
      </c>
      <c r="D73" s="9">
        <v>-9.8137747621839494E-2</v>
      </c>
      <c r="E73" s="9">
        <v>-2.0264520458485999E-3</v>
      </c>
      <c r="F73" s="9">
        <v>1.47380898850029E-2</v>
      </c>
      <c r="G73" s="2">
        <v>0</v>
      </c>
      <c r="I73" s="4"/>
      <c r="J73" s="4"/>
      <c r="K73" s="4"/>
      <c r="M73" s="8">
        <v>63</v>
      </c>
      <c r="N73" s="9">
        <v>-4.75416107629386</v>
      </c>
      <c r="O73" s="9">
        <v>8.7262271481657605E-3</v>
      </c>
      <c r="P73" s="9">
        <v>1.23277992480233E-2</v>
      </c>
      <c r="Q73" s="9">
        <v>1.4387877337280299E-2</v>
      </c>
      <c r="R73" s="9">
        <v>3.3048990143361497E-2</v>
      </c>
      <c r="U73" s="4"/>
      <c r="V73" s="4"/>
      <c r="W73" s="4"/>
    </row>
    <row r="74" spans="1:23" ht="14.25" customHeight="1" x14ac:dyDescent="0.2">
      <c r="A74" s="8">
        <v>64</v>
      </c>
      <c r="B74" s="9">
        <v>-3.9532258718028901</v>
      </c>
      <c r="C74" s="9">
        <v>1.0071517190479501E-2</v>
      </c>
      <c r="D74" s="9">
        <v>-8.5187625050757304E-2</v>
      </c>
      <c r="E74" s="9">
        <v>4.8188570824690197E-4</v>
      </c>
      <c r="F74" s="9">
        <v>2.1239828851158198E-2</v>
      </c>
      <c r="G74" s="2">
        <v>0</v>
      </c>
      <c r="I74" s="4"/>
      <c r="J74" s="4"/>
      <c r="K74" s="4"/>
      <c r="M74" s="8">
        <v>64</v>
      </c>
      <c r="N74" s="9">
        <v>-4.6606710404121801</v>
      </c>
      <c r="O74" s="9">
        <v>9.0314899733126997E-3</v>
      </c>
      <c r="P74" s="9">
        <v>1.0242922280406601E-2</v>
      </c>
      <c r="Q74" s="9">
        <v>1.4300200960150101E-2</v>
      </c>
      <c r="R74" s="9">
        <v>2.63931762434719E-2</v>
      </c>
      <c r="U74" s="4"/>
      <c r="V74" s="4"/>
      <c r="W74" s="4"/>
    </row>
    <row r="75" spans="1:23" ht="14.25" customHeight="1" x14ac:dyDescent="0.2">
      <c r="A75" s="8">
        <v>65</v>
      </c>
      <c r="B75" s="9">
        <v>-3.8603316657792601</v>
      </c>
      <c r="C75" s="9">
        <v>1.02703838661299E-2</v>
      </c>
      <c r="D75" s="9">
        <v>-6.6332216059375795E-2</v>
      </c>
      <c r="E75" s="9">
        <v>-5.7446102227507096E-4</v>
      </c>
      <c r="F75" s="9">
        <v>1.56492789016788E-2</v>
      </c>
      <c r="G75" s="2">
        <v>0</v>
      </c>
      <c r="I75" s="4"/>
      <c r="J75" s="4"/>
      <c r="K75" s="4"/>
      <c r="M75" s="8">
        <v>65</v>
      </c>
      <c r="N75" s="9">
        <v>-4.5660710729850198</v>
      </c>
      <c r="O75" s="9">
        <v>9.2477428214019896E-3</v>
      </c>
      <c r="P75" s="9">
        <v>1.1288238906962201E-2</v>
      </c>
      <c r="Q75" s="9">
        <v>1.38633020344075E-2</v>
      </c>
      <c r="R75" s="9">
        <v>3.6867446124496203E-2</v>
      </c>
      <c r="U75" s="4"/>
      <c r="V75" s="4"/>
      <c r="W75" s="4"/>
    </row>
    <row r="76" spans="1:23" ht="14.25" customHeight="1" x14ac:dyDescent="0.2">
      <c r="A76" s="8">
        <v>66</v>
      </c>
      <c r="B76" s="9">
        <v>-3.77358343374727</v>
      </c>
      <c r="C76" s="9">
        <v>1.03244001396112E-2</v>
      </c>
      <c r="D76" s="9">
        <v>-5.1024704024017702E-2</v>
      </c>
      <c r="E76" s="9">
        <v>1.7673475623167299E-3</v>
      </c>
      <c r="F76" s="9">
        <v>6.8262745136313903E-4</v>
      </c>
      <c r="G76" s="2">
        <v>0</v>
      </c>
      <c r="I76" s="4"/>
      <c r="J76" s="4"/>
      <c r="K76" s="4"/>
      <c r="M76" s="8">
        <v>66</v>
      </c>
      <c r="N76" s="9">
        <v>-4.4734428446974501</v>
      </c>
      <c r="O76" s="9">
        <v>9.4133449001858206E-3</v>
      </c>
      <c r="P76" s="9">
        <v>8.3412245921845596E-3</v>
      </c>
      <c r="Q76" s="9">
        <v>1.4591315362032699E-2</v>
      </c>
      <c r="R76" s="9">
        <v>3.5758101561585001E-2</v>
      </c>
      <c r="U76" s="4"/>
      <c r="V76" s="4"/>
      <c r="W76" s="4"/>
    </row>
    <row r="77" spans="1:23" ht="14.25" customHeight="1" x14ac:dyDescent="0.2">
      <c r="A77" s="8">
        <v>67</v>
      </c>
      <c r="B77" s="9">
        <v>-3.6829912306212802</v>
      </c>
      <c r="C77" s="9">
        <v>1.0593174794558201E-2</v>
      </c>
      <c r="D77" s="9">
        <v>-3.89232854797825E-2</v>
      </c>
      <c r="E77" s="9">
        <v>2.1582071385062699E-3</v>
      </c>
      <c r="F77" s="9">
        <v>3.70682207079122E-2</v>
      </c>
      <c r="G77" s="2">
        <v>0</v>
      </c>
      <c r="I77" s="4"/>
      <c r="J77" s="4"/>
      <c r="K77" s="4"/>
      <c r="M77" s="8">
        <v>67</v>
      </c>
      <c r="N77" s="9">
        <v>-4.3776746518869798</v>
      </c>
      <c r="O77" s="9">
        <v>9.7652005933974006E-3</v>
      </c>
      <c r="P77" s="9">
        <v>6.4835533828215804E-3</v>
      </c>
      <c r="Q77" s="9">
        <v>1.41925736222094E-2</v>
      </c>
      <c r="R77" s="9">
        <v>5.15820679816568E-2</v>
      </c>
      <c r="U77" s="4"/>
      <c r="V77" s="4"/>
      <c r="W77" s="4"/>
    </row>
    <row r="78" spans="1:23" ht="14.25" customHeight="1" x14ac:dyDescent="0.2">
      <c r="A78" s="8">
        <v>68</v>
      </c>
      <c r="B78" s="9">
        <v>-3.5906001056696302</v>
      </c>
      <c r="C78" s="9">
        <v>1.06748972118506E-2</v>
      </c>
      <c r="D78" s="9">
        <v>-2.5478655597767699E-2</v>
      </c>
      <c r="E78" s="9">
        <v>2.8186729310922401E-3</v>
      </c>
      <c r="F78" s="9">
        <v>3.0156820646169102E-2</v>
      </c>
      <c r="G78" s="2">
        <v>0</v>
      </c>
      <c r="I78" s="4"/>
      <c r="J78" s="4"/>
      <c r="K78" s="4"/>
      <c r="M78" s="8">
        <v>68</v>
      </c>
      <c r="N78" s="9">
        <v>-4.2782761537702703</v>
      </c>
      <c r="O78" s="9">
        <v>9.9317651212207508E-3</v>
      </c>
      <c r="P78" s="9">
        <v>1.4984477175650201E-2</v>
      </c>
      <c r="Q78" s="9">
        <v>1.5247541884555E-2</v>
      </c>
      <c r="R78" s="9">
        <v>4.8991563049832897E-2</v>
      </c>
      <c r="U78" s="4"/>
      <c r="V78" s="4"/>
      <c r="W78" s="4"/>
    </row>
    <row r="79" spans="1:23" ht="14.25" customHeight="1" x14ac:dyDescent="0.2">
      <c r="A79" s="8">
        <v>69</v>
      </c>
      <c r="B79" s="9">
        <v>-3.50027379642209</v>
      </c>
      <c r="C79" s="9">
        <v>1.07433282794058E-2</v>
      </c>
      <c r="D79" s="9">
        <v>-1.12045080550445E-2</v>
      </c>
      <c r="E79" s="9">
        <v>4.9748629556300699E-3</v>
      </c>
      <c r="F79" s="9">
        <v>3.41884383255368E-2</v>
      </c>
      <c r="G79" s="2">
        <v>0</v>
      </c>
      <c r="I79" s="4"/>
      <c r="J79" s="4"/>
      <c r="K79" s="4"/>
      <c r="M79" s="8">
        <v>69</v>
      </c>
      <c r="N79" s="9">
        <v>-4.1739331154734396</v>
      </c>
      <c r="O79" s="9">
        <v>1.0211200377749301E-2</v>
      </c>
      <c r="P79" s="9">
        <v>4.3541901871648704E-3</v>
      </c>
      <c r="Q79" s="9">
        <v>1.6993959813589001E-2</v>
      </c>
      <c r="R79" s="9">
        <v>6.1397437581269899E-2</v>
      </c>
      <c r="U79" s="4"/>
      <c r="V79" s="4"/>
      <c r="W79" s="4"/>
    </row>
    <row r="80" spans="1:23" ht="14.25" customHeight="1" x14ac:dyDescent="0.2">
      <c r="A80" s="8">
        <v>70</v>
      </c>
      <c r="B80" s="9">
        <v>-3.4064823074250499</v>
      </c>
      <c r="C80" s="9">
        <v>1.08659605991458E-2</v>
      </c>
      <c r="D80" s="9">
        <v>-7.0320762874693798E-3</v>
      </c>
      <c r="E80" s="9">
        <v>6.3492500702319902E-3</v>
      </c>
      <c r="F80" s="9">
        <v>4.32742026792493E-2</v>
      </c>
      <c r="G80" s="2">
        <v>0</v>
      </c>
      <c r="I80" s="4"/>
      <c r="J80" s="4"/>
      <c r="K80" s="4"/>
      <c r="M80" s="8">
        <v>70</v>
      </c>
      <c r="N80" s="9">
        <v>-4.0674502974233002</v>
      </c>
      <c r="O80" s="9">
        <v>1.04245027112816E-2</v>
      </c>
      <c r="P80" s="9">
        <v>2.7459344741718201E-3</v>
      </c>
      <c r="Q80" s="9">
        <v>1.6825508770837001E-2</v>
      </c>
      <c r="R80" s="9">
        <v>4.1245711156659599E-2</v>
      </c>
      <c r="U80" s="4"/>
      <c r="V80" s="4"/>
      <c r="W80" s="4"/>
    </row>
    <row r="81" spans="1:23" ht="14.25" customHeight="1" x14ac:dyDescent="0.2">
      <c r="A81" s="8">
        <v>71</v>
      </c>
      <c r="B81" s="9">
        <v>-3.3139115959474101</v>
      </c>
      <c r="C81" s="9">
        <v>1.0788228375823199E-2</v>
      </c>
      <c r="D81" s="9">
        <v>5.8902246059684398E-3</v>
      </c>
      <c r="E81" s="9">
        <v>9.9399983591632601E-3</v>
      </c>
      <c r="F81" s="9">
        <v>3.7717984299683802E-2</v>
      </c>
      <c r="G81" s="2">
        <v>0</v>
      </c>
      <c r="I81" s="4"/>
      <c r="J81" s="4"/>
      <c r="K81" s="4"/>
      <c r="M81" s="8">
        <v>71</v>
      </c>
      <c r="N81" s="9">
        <v>-3.96333932330981</v>
      </c>
      <c r="O81" s="9">
        <v>1.06002974787311E-2</v>
      </c>
      <c r="P81" s="9">
        <v>1.0823493873756401E-2</v>
      </c>
      <c r="Q81" s="9">
        <v>1.64217678867601E-2</v>
      </c>
      <c r="R81" s="9">
        <v>3.9485060887084797E-2</v>
      </c>
      <c r="U81" s="4"/>
      <c r="V81" s="4"/>
      <c r="W81" s="4"/>
    </row>
    <row r="82" spans="1:23" ht="14.25" customHeight="1" x14ac:dyDescent="0.2">
      <c r="A82" s="8">
        <v>72</v>
      </c>
      <c r="B82" s="9">
        <v>-3.2179936622384502</v>
      </c>
      <c r="C82" s="9">
        <v>1.08080752866264E-2</v>
      </c>
      <c r="D82" s="9">
        <v>1.93806745330765E-2</v>
      </c>
      <c r="E82" s="9">
        <v>1.06867609945102E-2</v>
      </c>
      <c r="F82" s="9">
        <v>2.21822043054055E-2</v>
      </c>
      <c r="G82" s="2">
        <v>0</v>
      </c>
      <c r="I82" s="4"/>
      <c r="J82" s="4"/>
      <c r="K82" s="4"/>
      <c r="M82" s="8">
        <v>72</v>
      </c>
      <c r="N82" s="9">
        <v>-3.8490034436651102</v>
      </c>
      <c r="O82" s="9">
        <v>1.0779652038637001E-2</v>
      </c>
      <c r="P82" s="9">
        <v>-7.4793865683471204E-3</v>
      </c>
      <c r="Q82" s="9">
        <v>1.7115875799926399E-2</v>
      </c>
      <c r="R82" s="9">
        <v>4.1586368479373401E-2</v>
      </c>
      <c r="U82" s="4"/>
      <c r="V82" s="4"/>
      <c r="W82" s="4"/>
    </row>
    <row r="83" spans="1:23" ht="14.25" customHeight="1" x14ac:dyDescent="0.2">
      <c r="A83" s="8">
        <v>73</v>
      </c>
      <c r="B83" s="9">
        <v>-3.12340621826029</v>
      </c>
      <c r="C83" s="9">
        <v>1.07376964015435E-2</v>
      </c>
      <c r="D83" s="9">
        <v>2.8319838500570099E-2</v>
      </c>
      <c r="E83" s="9">
        <v>1.1845569891557901E-2</v>
      </c>
      <c r="F83" s="9">
        <v>2.2764952053808601E-2</v>
      </c>
      <c r="G83" s="2">
        <v>0</v>
      </c>
      <c r="I83" s="4"/>
      <c r="J83" s="4"/>
      <c r="K83" s="4"/>
      <c r="M83" s="8">
        <v>73</v>
      </c>
      <c r="N83" s="9">
        <v>-3.7373436675003902</v>
      </c>
      <c r="O83" s="9">
        <v>1.0937269384811699E-2</v>
      </c>
      <c r="P83" s="9">
        <v>-2.1218531050628498E-3</v>
      </c>
      <c r="Q83" s="9">
        <v>1.6990814343606098E-2</v>
      </c>
      <c r="R83" s="9">
        <v>4.5072136758876898E-2</v>
      </c>
      <c r="U83" s="4"/>
      <c r="V83" s="4"/>
      <c r="W83" s="4"/>
    </row>
    <row r="84" spans="1:23" ht="14.25" customHeight="1" x14ac:dyDescent="0.2">
      <c r="A84" s="8">
        <v>74</v>
      </c>
      <c r="B84" s="9">
        <v>-3.0267547697405801</v>
      </c>
      <c r="C84" s="9">
        <v>1.0605122157901201E-2</v>
      </c>
      <c r="D84" s="9">
        <v>3.5470103225065899E-2</v>
      </c>
      <c r="E84" s="9">
        <v>1.15185137047739E-2</v>
      </c>
      <c r="F84" s="9">
        <v>4.9646927820573797E-2</v>
      </c>
      <c r="G84" s="2">
        <v>0</v>
      </c>
      <c r="I84" s="4"/>
      <c r="J84" s="4"/>
      <c r="K84" s="4"/>
      <c r="M84" s="8">
        <v>74</v>
      </c>
      <c r="N84" s="9">
        <v>-3.6236674702646701</v>
      </c>
      <c r="O84" s="9">
        <v>1.10742261472549E-2</v>
      </c>
      <c r="P84" s="9">
        <v>-2.4643918528699498E-3</v>
      </c>
      <c r="Q84" s="9">
        <v>1.6178699546110498E-2</v>
      </c>
      <c r="R84" s="9">
        <v>4.0800066733679502E-2</v>
      </c>
      <c r="U84" s="4"/>
      <c r="V84" s="4"/>
      <c r="W84" s="4"/>
    </row>
    <row r="85" spans="1:23" ht="14.25" customHeight="1" x14ac:dyDescent="0.2">
      <c r="A85" s="8">
        <v>75</v>
      </c>
      <c r="B85" s="9">
        <v>-2.9309005966902699</v>
      </c>
      <c r="C85" s="9">
        <v>1.0425098237495101E-2</v>
      </c>
      <c r="D85" s="9">
        <v>4.2852089209946001E-2</v>
      </c>
      <c r="E85" s="9">
        <v>1.0860567477719201E-2</v>
      </c>
      <c r="F85" s="9">
        <v>1.6233600863113699E-2</v>
      </c>
      <c r="G85" s="2">
        <v>0</v>
      </c>
      <c r="I85" s="4"/>
      <c r="J85" s="4"/>
      <c r="K85" s="4"/>
      <c r="M85" s="8">
        <v>75</v>
      </c>
      <c r="N85" s="9">
        <v>-3.50724073164124</v>
      </c>
      <c r="O85" s="9">
        <v>1.11263236033389E-2</v>
      </c>
      <c r="P85" s="9">
        <v>-5.0292817798514001E-4</v>
      </c>
      <c r="Q85" s="9">
        <v>1.6468598970484302E-2</v>
      </c>
      <c r="R85" s="9">
        <v>4.41178196693248E-2</v>
      </c>
      <c r="U85" s="4"/>
      <c r="V85" s="4"/>
      <c r="W85" s="4"/>
    </row>
    <row r="86" spans="1:23" ht="14.25" customHeight="1" x14ac:dyDescent="0.2">
      <c r="A86" s="8">
        <v>76</v>
      </c>
      <c r="B86" s="9">
        <v>-2.8354084927838801</v>
      </c>
      <c r="C86" s="9">
        <v>1.02338282997456E-2</v>
      </c>
      <c r="D86" s="9">
        <v>5.00905691906759E-2</v>
      </c>
      <c r="E86" s="9">
        <v>1.3371008167083399E-2</v>
      </c>
      <c r="F86" s="9">
        <v>3.6173834835375701E-2</v>
      </c>
      <c r="G86" s="2">
        <v>0</v>
      </c>
      <c r="I86" s="4"/>
      <c r="J86" s="4"/>
      <c r="K86" s="4"/>
      <c r="M86" s="8">
        <v>76</v>
      </c>
      <c r="N86" s="9">
        <v>-3.3883703573041002</v>
      </c>
      <c r="O86" s="9">
        <v>1.11011887450262E-2</v>
      </c>
      <c r="P86" s="9">
        <v>-4.3749690587055997E-3</v>
      </c>
      <c r="Q86" s="9">
        <v>1.6659678985431799E-2</v>
      </c>
      <c r="R86" s="9">
        <v>3.9329133987769299E-2</v>
      </c>
      <c r="U86" s="4"/>
      <c r="V86" s="4"/>
      <c r="W86" s="4"/>
    </row>
    <row r="87" spans="1:23" ht="14.25" customHeight="1" x14ac:dyDescent="0.2">
      <c r="A87" s="8">
        <v>77</v>
      </c>
      <c r="B87" s="9">
        <v>-2.7384102330211402</v>
      </c>
      <c r="C87" s="9">
        <v>9.9359502310744294E-3</v>
      </c>
      <c r="D87" s="9">
        <v>5.1475772202083499E-2</v>
      </c>
      <c r="E87" s="9">
        <v>1.6227426547805401E-2</v>
      </c>
      <c r="F87" s="9">
        <v>2.9741388676124501E-2</v>
      </c>
      <c r="G87" s="2">
        <v>0</v>
      </c>
      <c r="I87" s="4"/>
      <c r="J87" s="4"/>
      <c r="K87" s="4"/>
      <c r="M87" s="8">
        <v>77</v>
      </c>
      <c r="N87" s="9">
        <v>-3.27203927240804</v>
      </c>
      <c r="O87" s="9">
        <v>1.1078657600863E-2</v>
      </c>
      <c r="P87" s="9">
        <v>5.7491397768707504E-3</v>
      </c>
      <c r="Q87" s="9">
        <v>1.5522150945263E-2</v>
      </c>
      <c r="R87" s="9">
        <v>4.1694382699716502E-2</v>
      </c>
      <c r="U87" s="4"/>
      <c r="V87" s="4"/>
      <c r="W87" s="4"/>
    </row>
    <row r="88" spans="1:23" ht="14.25" customHeight="1" x14ac:dyDescent="0.2">
      <c r="A88" s="8">
        <v>78</v>
      </c>
      <c r="B88" s="9">
        <v>-2.6405383435960901</v>
      </c>
      <c r="C88" s="9">
        <v>9.6381393395990299E-3</v>
      </c>
      <c r="D88" s="9">
        <v>5.9363860677638797E-2</v>
      </c>
      <c r="E88" s="9">
        <v>1.7143060159959998E-2</v>
      </c>
      <c r="F88" s="9">
        <v>2.3820718054414099E-2</v>
      </c>
      <c r="G88" s="2">
        <v>0</v>
      </c>
      <c r="I88" s="4"/>
      <c r="J88" s="4"/>
      <c r="K88" s="4"/>
      <c r="M88" s="8">
        <v>78</v>
      </c>
      <c r="N88" s="9">
        <v>-3.1508182674223302</v>
      </c>
      <c r="O88" s="9">
        <v>1.09052478175268E-2</v>
      </c>
      <c r="P88" s="9">
        <v>2.8323070693030399E-3</v>
      </c>
      <c r="Q88" s="9">
        <v>1.56037061940373E-2</v>
      </c>
      <c r="R88" s="9">
        <v>4.0645837167828103E-2</v>
      </c>
      <c r="U88" s="4"/>
      <c r="V88" s="4"/>
      <c r="W88" s="4"/>
    </row>
    <row r="89" spans="1:23" ht="14.25" customHeight="1" x14ac:dyDescent="0.2">
      <c r="A89" s="8">
        <v>79</v>
      </c>
      <c r="B89" s="9">
        <v>-2.5424844425359598</v>
      </c>
      <c r="C89" s="9">
        <v>9.3768470758591998E-3</v>
      </c>
      <c r="D89" s="9">
        <v>6.5740879601705202E-2</v>
      </c>
      <c r="E89" s="9">
        <v>1.52239716610898E-2</v>
      </c>
      <c r="F89" s="9">
        <v>2.65498110148201E-2</v>
      </c>
      <c r="G89" s="2">
        <v>0</v>
      </c>
      <c r="I89" s="4"/>
      <c r="J89" s="4"/>
      <c r="K89" s="4"/>
      <c r="M89" s="8">
        <v>79</v>
      </c>
      <c r="N89" s="9">
        <v>-3.0273629507851498</v>
      </c>
      <c r="O89" s="9">
        <v>1.0696938170599E-2</v>
      </c>
      <c r="P89" s="9">
        <v>-4.8456854809053601E-4</v>
      </c>
      <c r="Q89" s="9">
        <v>1.4257186604563101E-2</v>
      </c>
      <c r="R89" s="9">
        <v>3.6895609914888598E-2</v>
      </c>
      <c r="U89" s="4"/>
      <c r="V89" s="4"/>
      <c r="W89" s="4"/>
    </row>
    <row r="90" spans="1:23" ht="14.25" customHeight="1" x14ac:dyDescent="0.2">
      <c r="A90" s="8">
        <v>80</v>
      </c>
      <c r="B90" s="9">
        <v>-2.4357278673317402</v>
      </c>
      <c r="C90" s="9">
        <v>9.0401463488350101E-3</v>
      </c>
      <c r="D90" s="9">
        <v>6.0929833096887299E-2</v>
      </c>
      <c r="E90" s="9">
        <v>1.8020661618825599E-2</v>
      </c>
      <c r="F90" s="9">
        <v>2.85638591594163E-2</v>
      </c>
      <c r="G90" s="2">
        <v>0</v>
      </c>
      <c r="I90" s="4"/>
      <c r="J90" s="4"/>
      <c r="K90" s="4"/>
      <c r="M90" s="8">
        <v>80</v>
      </c>
      <c r="N90" s="9">
        <v>-2.8971191209307499</v>
      </c>
      <c r="O90" s="9">
        <v>1.0367070228388399E-2</v>
      </c>
      <c r="P90" s="9">
        <v>1.8990343025464501E-3</v>
      </c>
      <c r="Q90" s="9">
        <v>1.44376761214786E-2</v>
      </c>
      <c r="R90" s="9">
        <v>3.8964689111828398E-2</v>
      </c>
      <c r="U90" s="4"/>
      <c r="V90" s="4"/>
      <c r="W90" s="4"/>
    </row>
    <row r="91" spans="1:23" ht="14.25" customHeight="1" x14ac:dyDescent="0.2">
      <c r="A91" s="8">
        <v>81</v>
      </c>
      <c r="B91" s="9">
        <v>-2.3364748115404801</v>
      </c>
      <c r="C91" s="9">
        <v>8.5594954427391998E-3</v>
      </c>
      <c r="D91" s="9">
        <v>6.1582908516848903E-2</v>
      </c>
      <c r="E91" s="9">
        <v>1.98943057435483E-2</v>
      </c>
      <c r="F91" s="9">
        <v>2.0397925613588701E-2</v>
      </c>
      <c r="G91" s="2">
        <v>0</v>
      </c>
      <c r="I91" s="4"/>
      <c r="J91" s="4"/>
      <c r="K91" s="4"/>
      <c r="M91" s="8">
        <v>81</v>
      </c>
      <c r="N91" s="9">
        <v>-2.77454868485707</v>
      </c>
      <c r="O91" s="9">
        <v>1.0004642493234E-2</v>
      </c>
      <c r="P91" s="9">
        <v>7.2981179141766699E-3</v>
      </c>
      <c r="Q91" s="9">
        <v>1.31979290113682E-2</v>
      </c>
      <c r="R91" s="9">
        <v>2.5559994680995599E-2</v>
      </c>
      <c r="U91" s="4"/>
      <c r="V91" s="4"/>
      <c r="W91" s="4"/>
    </row>
    <row r="92" spans="1:23" ht="14.25" customHeight="1" x14ac:dyDescent="0.2">
      <c r="A92" s="8">
        <v>82</v>
      </c>
      <c r="B92" s="9">
        <v>-2.2356136143779599</v>
      </c>
      <c r="C92" s="9">
        <v>8.1864344086695594E-3</v>
      </c>
      <c r="D92" s="9">
        <v>5.4228472549713302E-2</v>
      </c>
      <c r="E92" s="9">
        <v>1.9223326789875698E-2</v>
      </c>
      <c r="F92" s="9">
        <v>2.98745960150903E-2</v>
      </c>
      <c r="G92" s="2">
        <v>0</v>
      </c>
      <c r="I92" s="4"/>
      <c r="J92" s="4"/>
      <c r="K92" s="4"/>
      <c r="M92" s="8">
        <v>82</v>
      </c>
      <c r="N92" s="9">
        <v>-2.64862102151735</v>
      </c>
      <c r="O92" s="9">
        <v>9.7024185980791704E-3</v>
      </c>
      <c r="P92" s="9">
        <v>9.7568251399078303E-3</v>
      </c>
      <c r="Q92" s="9">
        <v>1.3757584413814E-2</v>
      </c>
      <c r="R92" s="9">
        <v>3.1763715214086802E-2</v>
      </c>
      <c r="U92" s="4"/>
      <c r="V92" s="4"/>
      <c r="W92" s="4"/>
    </row>
    <row r="93" spans="1:23" ht="14.25" customHeight="1" x14ac:dyDescent="0.2">
      <c r="A93" s="8">
        <v>83</v>
      </c>
      <c r="B93" s="9">
        <v>-2.13553781793473</v>
      </c>
      <c r="C93" s="9">
        <v>7.7615980691937703E-3</v>
      </c>
      <c r="D93" s="9">
        <v>5.4122435739509797E-2</v>
      </c>
      <c r="E93" s="9">
        <v>2.07964510109152E-2</v>
      </c>
      <c r="F93" s="9">
        <v>2.8466250179513802E-2</v>
      </c>
      <c r="G93" s="2">
        <v>0</v>
      </c>
      <c r="I93" s="4"/>
      <c r="J93" s="4"/>
      <c r="K93" s="4"/>
      <c r="M93" s="8">
        <v>83</v>
      </c>
      <c r="N93" s="9">
        <v>-2.52405505998673</v>
      </c>
      <c r="O93" s="9">
        <v>9.3053472281542891E-3</v>
      </c>
      <c r="P93" s="9">
        <v>1.0592487814518501E-2</v>
      </c>
      <c r="Q93" s="9">
        <v>1.3550106351016699E-2</v>
      </c>
      <c r="R93" s="9">
        <v>2.5034546183627899E-2</v>
      </c>
      <c r="U93" s="4"/>
      <c r="V93" s="4"/>
      <c r="W93" s="4"/>
    </row>
    <row r="94" spans="1:23" ht="14.25" customHeight="1" x14ac:dyDescent="0.2">
      <c r="A94" s="8">
        <v>84</v>
      </c>
      <c r="B94" s="9">
        <v>-2.0354946773070899</v>
      </c>
      <c r="C94" s="9">
        <v>7.3367217053358401E-3</v>
      </c>
      <c r="D94" s="9">
        <v>5.4108494589858197E-2</v>
      </c>
      <c r="E94" s="9">
        <v>1.9452409436532401E-2</v>
      </c>
      <c r="F94" s="9">
        <v>3.0354832972696401E-2</v>
      </c>
      <c r="G94" s="2">
        <v>0</v>
      </c>
      <c r="I94" s="4"/>
      <c r="J94" s="4"/>
      <c r="K94" s="4"/>
      <c r="M94" s="8">
        <v>84</v>
      </c>
      <c r="N94" s="9">
        <v>-2.4017040365749098</v>
      </c>
      <c r="O94" s="9">
        <v>8.9471516298119703E-3</v>
      </c>
      <c r="P94" s="9">
        <v>9.4858946468523407E-3</v>
      </c>
      <c r="Q94" s="9">
        <v>1.33466910979407E-2</v>
      </c>
      <c r="R94" s="9">
        <v>1.9947403973499402E-2</v>
      </c>
      <c r="U94" s="4"/>
      <c r="V94" s="4"/>
      <c r="W94" s="4"/>
    </row>
    <row r="95" spans="1:23" ht="14.25" customHeight="1" x14ac:dyDescent="0.2">
      <c r="A95" s="8">
        <v>85</v>
      </c>
      <c r="B95" s="9">
        <v>-1.9372363052081201</v>
      </c>
      <c r="C95" s="9">
        <v>6.8651706588279604E-3</v>
      </c>
      <c r="D95" s="9">
        <v>5.6019411123507702E-2</v>
      </c>
      <c r="E95" s="9">
        <v>1.4926362737547799E-2</v>
      </c>
      <c r="F95" s="9">
        <v>2.66465676568453E-2</v>
      </c>
      <c r="G95" s="2">
        <v>0</v>
      </c>
      <c r="I95" s="4"/>
      <c r="J95" s="4"/>
      <c r="K95" s="4"/>
      <c r="M95" s="8">
        <v>85</v>
      </c>
      <c r="N95" s="9">
        <v>-2.2813987962529101</v>
      </c>
      <c r="O95" s="9">
        <v>8.3901493701786893E-3</v>
      </c>
      <c r="P95" s="9">
        <v>9.8986915532588392E-3</v>
      </c>
      <c r="Q95" s="9">
        <v>1.35757057257719E-2</v>
      </c>
      <c r="R95" s="9">
        <v>2.43552919294979E-2</v>
      </c>
      <c r="U95" s="4"/>
      <c r="V95" s="4"/>
      <c r="W95" s="4"/>
    </row>
    <row r="96" spans="1:23" ht="14.25" customHeight="1" x14ac:dyDescent="0.2">
      <c r="A96" s="8">
        <v>86</v>
      </c>
      <c r="B96" s="9">
        <v>-1.83603829232007</v>
      </c>
      <c r="C96" s="9">
        <v>6.3994190415337096E-3</v>
      </c>
      <c r="D96" s="9">
        <v>4.6935803344061E-2</v>
      </c>
      <c r="E96" s="9">
        <v>1.8049688072807799E-2</v>
      </c>
      <c r="F96" s="9">
        <v>4.2951608794242598E-2</v>
      </c>
      <c r="G96" s="2">
        <v>0</v>
      </c>
      <c r="I96" s="4"/>
      <c r="J96" s="4"/>
      <c r="K96" s="4"/>
      <c r="M96" s="8">
        <v>86</v>
      </c>
      <c r="N96" s="9">
        <v>-2.1601506506867398</v>
      </c>
      <c r="O96" s="9">
        <v>7.9157645591236107E-3</v>
      </c>
      <c r="P96" s="9">
        <v>1.7811076142054499E-2</v>
      </c>
      <c r="Q96" s="9">
        <v>1.3570994821592601E-2</v>
      </c>
      <c r="R96" s="9">
        <v>2.4073429738601E-2</v>
      </c>
      <c r="U96" s="4"/>
      <c r="V96" s="4"/>
      <c r="W96" s="4"/>
    </row>
    <row r="97" spans="1:23" ht="14.25" customHeight="1" x14ac:dyDescent="0.2">
      <c r="A97" s="8">
        <v>87</v>
      </c>
      <c r="B97" s="9">
        <v>-1.7408695527973399</v>
      </c>
      <c r="C97" s="9">
        <v>5.9360009214010903E-3</v>
      </c>
      <c r="D97" s="9">
        <v>4.7700907110000301E-2</v>
      </c>
      <c r="E97" s="9">
        <v>1.67995314320755E-2</v>
      </c>
      <c r="F97" s="9">
        <v>4.0213760946575E-2</v>
      </c>
      <c r="G97" s="2">
        <v>0</v>
      </c>
      <c r="I97" s="4"/>
      <c r="J97" s="4"/>
      <c r="K97" s="4"/>
      <c r="M97" s="8">
        <v>87</v>
      </c>
      <c r="N97" s="9">
        <v>-2.0441017046088601</v>
      </c>
      <c r="O97" s="9">
        <v>7.3228836690234804E-3</v>
      </c>
      <c r="P97" s="9">
        <v>2.4027481221601501E-2</v>
      </c>
      <c r="Q97" s="9">
        <v>1.29008128485821E-2</v>
      </c>
      <c r="R97" s="9">
        <v>2.2532384975822502E-2</v>
      </c>
      <c r="U97" s="4"/>
      <c r="V97" s="4"/>
      <c r="W97" s="4"/>
    </row>
    <row r="98" spans="1:23" ht="14.25" customHeight="1" x14ac:dyDescent="0.2">
      <c r="A98" s="8">
        <v>88</v>
      </c>
      <c r="B98" s="9">
        <v>-1.64557396985705</v>
      </c>
      <c r="C98" s="9">
        <v>5.4297049610785297E-3</v>
      </c>
      <c r="D98" s="9">
        <v>4.8446483383919797E-2</v>
      </c>
      <c r="E98" s="9">
        <v>2.0069733670401699E-2</v>
      </c>
      <c r="F98" s="9">
        <v>4.7853069908465197E-2</v>
      </c>
      <c r="G98" s="2">
        <v>0</v>
      </c>
      <c r="I98" s="4"/>
      <c r="J98" s="4"/>
      <c r="K98" s="4"/>
      <c r="M98" s="8">
        <v>88</v>
      </c>
      <c r="N98" s="9">
        <v>-1.92992959314025</v>
      </c>
      <c r="O98" s="9">
        <v>6.8130911344027904E-3</v>
      </c>
      <c r="P98" s="9">
        <v>2.0535191074820599E-2</v>
      </c>
      <c r="Q98" s="9">
        <v>1.2430068467779099E-2</v>
      </c>
      <c r="R98" s="9">
        <v>3.0630141606324299E-2</v>
      </c>
      <c r="U98" s="4"/>
      <c r="V98" s="4"/>
      <c r="W98" s="4"/>
    </row>
    <row r="99" spans="1:23" ht="14.25" customHeight="1" x14ac:dyDescent="0.2">
      <c r="A99" s="8">
        <v>89</v>
      </c>
      <c r="B99" s="9">
        <v>-1.55292774901246</v>
      </c>
      <c r="C99" s="9">
        <v>4.9358264480839397E-3</v>
      </c>
      <c r="D99" s="9">
        <v>4.2100656214392601E-2</v>
      </c>
      <c r="E99" s="9">
        <v>1.8560577632659701E-2</v>
      </c>
      <c r="F99" s="9">
        <v>7.1674940922062502E-2</v>
      </c>
      <c r="G99" s="2">
        <v>0</v>
      </c>
      <c r="I99" s="4"/>
      <c r="J99" s="4"/>
      <c r="K99" s="4"/>
      <c r="M99" s="8">
        <v>89</v>
      </c>
      <c r="N99" s="9">
        <v>-1.81620629188354</v>
      </c>
      <c r="O99" s="9">
        <v>6.2762049363170296E-3</v>
      </c>
      <c r="P99" s="9">
        <v>2.72758170123613E-2</v>
      </c>
      <c r="Q99" s="9">
        <v>1.1675773840382099E-2</v>
      </c>
      <c r="R99" s="9">
        <v>2.5296923204142601E-2</v>
      </c>
      <c r="U99" s="4"/>
      <c r="V99" s="4"/>
      <c r="W99" s="4"/>
    </row>
    <row r="100" spans="1:23" ht="14.25" customHeight="1" x14ac:dyDescent="0.2">
      <c r="A100" s="8">
        <v>90</v>
      </c>
      <c r="B100" s="9">
        <v>-1.45442538512723</v>
      </c>
      <c r="C100" s="9">
        <v>4.5560100846285204E-3</v>
      </c>
      <c r="D100" s="9">
        <v>3.8221943834557202E-2</v>
      </c>
      <c r="E100" s="9">
        <v>2.03309905456103E-2</v>
      </c>
      <c r="F100" s="9">
        <v>8.0835663864989304E-2</v>
      </c>
      <c r="G100" s="2">
        <v>0</v>
      </c>
      <c r="I100" s="4"/>
      <c r="J100" s="4"/>
      <c r="K100" s="4"/>
      <c r="M100" s="8">
        <v>90</v>
      </c>
      <c r="N100" s="9">
        <v>-1.7060108525614499</v>
      </c>
      <c r="O100" s="9">
        <v>5.7420788224469303E-3</v>
      </c>
      <c r="P100" s="9">
        <v>2.85389917163421E-2</v>
      </c>
      <c r="Q100" s="9">
        <v>1.36019477255881E-2</v>
      </c>
      <c r="R100" s="9">
        <v>3.1329682556864302E-2</v>
      </c>
      <c r="U100" s="4"/>
      <c r="V100" s="4"/>
      <c r="W100" s="4"/>
    </row>
    <row r="101" spans="1:23" ht="14.25" customHeight="1" x14ac:dyDescent="0.2">
      <c r="A101" s="8">
        <f>A100+1</f>
        <v>91</v>
      </c>
      <c r="B101" s="9">
        <v>-1.3603478695603901</v>
      </c>
      <c r="C101" s="9">
        <v>4.4177893873592602E-3</v>
      </c>
      <c r="D101" s="9">
        <v>3.6947879040071997E-2</v>
      </c>
      <c r="E101" s="9">
        <v>1.72877928512651E-2</v>
      </c>
      <c r="F101" s="9">
        <v>8.0835663864989304E-2</v>
      </c>
      <c r="G101" s="2">
        <v>0</v>
      </c>
      <c r="M101" s="8">
        <f>M100+1</f>
        <v>91</v>
      </c>
      <c r="N101" s="9">
        <v>-1.5844506145210799</v>
      </c>
      <c r="O101" s="9">
        <v>5.6960344017769103E-3</v>
      </c>
      <c r="P101" s="9">
        <v>2.7587691992464001E-2</v>
      </c>
      <c r="Q101" s="9">
        <v>1.24946190776526E-2</v>
      </c>
      <c r="R101" s="9">
        <f t="shared" ref="R101:R130" si="2">R100</f>
        <v>3.1329682556864302E-2</v>
      </c>
    </row>
    <row r="102" spans="1:23" ht="14.25" customHeight="1" x14ac:dyDescent="0.2">
      <c r="A102" s="8">
        <f t="shared" ref="A102:A130" si="3">A101+1</f>
        <v>92</v>
      </c>
      <c r="B102" s="9">
        <v>-1.2685674476992199</v>
      </c>
      <c r="C102" s="9">
        <v>4.1253779937790802E-3</v>
      </c>
      <c r="D102" s="9">
        <v>3.5673814245586799E-2</v>
      </c>
      <c r="E102" s="9">
        <v>1.7715425239655601E-2</v>
      </c>
      <c r="F102" s="9">
        <v>8.0835663864989304E-2</v>
      </c>
      <c r="G102" s="2">
        <v>0</v>
      </c>
      <c r="M102" s="8">
        <f t="shared" ref="M102:M130" si="4">M101+1</f>
        <v>92</v>
      </c>
      <c r="N102" s="9">
        <v>-1.4728149501035499</v>
      </c>
      <c r="O102" s="9">
        <v>5.3701081858582604E-3</v>
      </c>
      <c r="P102" s="9">
        <v>2.6636392268585999E-2</v>
      </c>
      <c r="Q102" s="9">
        <v>1.27563389504488E-2</v>
      </c>
      <c r="R102" s="9">
        <f t="shared" si="2"/>
        <v>3.1329682556864302E-2</v>
      </c>
    </row>
    <row r="103" spans="1:23" ht="14.25" customHeight="1" x14ac:dyDescent="0.2">
      <c r="A103" s="8">
        <f t="shared" si="3"/>
        <v>93</v>
      </c>
      <c r="B103" s="9">
        <v>-1.17902414717618</v>
      </c>
      <c r="C103" s="9">
        <v>3.8523211722706601E-3</v>
      </c>
      <c r="D103" s="9">
        <v>3.4399749451101497E-2</v>
      </c>
      <c r="E103" s="9">
        <v>1.8093757842085601E-2</v>
      </c>
      <c r="F103" s="9">
        <v>8.0835663864989304E-2</v>
      </c>
      <c r="G103" s="2">
        <v>0</v>
      </c>
      <c r="M103" s="8">
        <f t="shared" si="4"/>
        <v>93</v>
      </c>
      <c r="N103" s="9">
        <v>-1.3637510157254999</v>
      </c>
      <c r="O103" s="9">
        <v>5.06283141808725E-3</v>
      </c>
      <c r="P103" s="9">
        <v>2.56850925447079E-2</v>
      </c>
      <c r="Q103" s="9">
        <v>1.29350856936318E-2</v>
      </c>
      <c r="R103" s="9">
        <f t="shared" si="2"/>
        <v>3.1329682556864302E-2</v>
      </c>
    </row>
    <row r="104" spans="1:23" ht="14.25" customHeight="1" x14ac:dyDescent="0.2">
      <c r="A104" s="8">
        <f t="shared" si="3"/>
        <v>94</v>
      </c>
      <c r="B104" s="9">
        <v>-1.0920268865659799</v>
      </c>
      <c r="C104" s="9">
        <v>3.59733785284732E-3</v>
      </c>
      <c r="D104" s="9">
        <v>3.3125684656616299E-2</v>
      </c>
      <c r="E104" s="9">
        <v>1.8415181863487898E-2</v>
      </c>
      <c r="F104" s="9">
        <v>8.0835663864989304E-2</v>
      </c>
      <c r="G104" s="2">
        <v>0</v>
      </c>
      <c r="M104" s="8">
        <f t="shared" si="4"/>
        <v>94</v>
      </c>
      <c r="N104" s="9">
        <v>-1.2576418458449099</v>
      </c>
      <c r="O104" s="9">
        <v>4.7731369798976802E-3</v>
      </c>
      <c r="P104" s="9">
        <v>2.4733792820829801E-2</v>
      </c>
      <c r="Q104" s="9">
        <v>1.3025776761768901E-2</v>
      </c>
      <c r="R104" s="9">
        <f t="shared" si="2"/>
        <v>3.1329682556864302E-2</v>
      </c>
    </row>
    <row r="105" spans="1:23" ht="14.25" customHeight="1" x14ac:dyDescent="0.2">
      <c r="A105" s="8">
        <f t="shared" si="3"/>
        <v>95</v>
      </c>
      <c r="B105" s="9">
        <v>-1.0078716872004201</v>
      </c>
      <c r="C105" s="9">
        <v>3.35923175893988E-3</v>
      </c>
      <c r="D105" s="9">
        <v>3.1851619862131003E-2</v>
      </c>
      <c r="E105" s="9">
        <v>1.8672110469913902E-2</v>
      </c>
      <c r="F105" s="9">
        <v>8.0835663864989304E-2</v>
      </c>
      <c r="G105" s="2">
        <v>0</v>
      </c>
      <c r="M105" s="8">
        <f t="shared" si="4"/>
        <v>95</v>
      </c>
      <c r="N105" s="9">
        <v>-1.1548698614395201</v>
      </c>
      <c r="O105" s="9">
        <v>4.5000188130842698E-3</v>
      </c>
      <c r="P105" s="9">
        <v>2.3782493096951799E-2</v>
      </c>
      <c r="Q105" s="9">
        <v>1.30246080376405E-2</v>
      </c>
      <c r="R105" s="9">
        <f t="shared" si="2"/>
        <v>3.1329682556864302E-2</v>
      </c>
    </row>
    <row r="106" spans="1:23" ht="14.25" customHeight="1" x14ac:dyDescent="0.2">
      <c r="A106" s="8">
        <f t="shared" si="3"/>
        <v>96</v>
      </c>
      <c r="B106" s="9">
        <v>-0.92683622716402103</v>
      </c>
      <c r="C106" s="9">
        <v>3.1368857949604701E-3</v>
      </c>
      <c r="D106" s="9">
        <v>3.0577555067645801E-2</v>
      </c>
      <c r="E106" s="9">
        <v>1.88572436326317E-2</v>
      </c>
      <c r="F106" s="9">
        <v>8.0835663864989304E-2</v>
      </c>
      <c r="G106" s="2">
        <v>0</v>
      </c>
      <c r="M106" s="8">
        <f t="shared" si="4"/>
        <v>96</v>
      </c>
      <c r="N106" s="9">
        <v>-1.0558089992028401</v>
      </c>
      <c r="O106" s="9">
        <v>4.24252842593813E-3</v>
      </c>
      <c r="P106" s="9">
        <v>2.28311933730737E-2</v>
      </c>
      <c r="Q106" s="9">
        <v>1.2929449531545401E-2</v>
      </c>
      <c r="R106" s="9">
        <f t="shared" si="2"/>
        <v>3.1329682556864302E-2</v>
      </c>
    </row>
    <row r="107" spans="1:23" ht="14.25" customHeight="1" x14ac:dyDescent="0.2">
      <c r="A107" s="8">
        <f t="shared" si="3"/>
        <v>97</v>
      </c>
      <c r="B107" s="9">
        <v>-0.84917414202034402</v>
      </c>
      <c r="C107" s="9">
        <v>2.9292568053506801E-3</v>
      </c>
      <c r="D107" s="9">
        <v>2.93034902731606E-2</v>
      </c>
      <c r="E107" s="9">
        <v>1.8963858748226099E-2</v>
      </c>
      <c r="F107" s="9">
        <v>8.0835663864989304E-2</v>
      </c>
      <c r="G107" s="2">
        <v>0</v>
      </c>
      <c r="M107" s="8">
        <f t="shared" si="4"/>
        <v>97</v>
      </c>
      <c r="N107" s="9">
        <v>-0.96081566406636598</v>
      </c>
      <c r="O107" s="9">
        <v>3.9997715993006404E-3</v>
      </c>
      <c r="P107" s="9">
        <v>2.1879893649195601E-2</v>
      </c>
      <c r="Q107" s="9">
        <v>1.2740209170146901E-2</v>
      </c>
      <c r="R107" s="9">
        <f t="shared" si="2"/>
        <v>3.1329682556864302E-2</v>
      </c>
    </row>
    <row r="108" spans="1:23" ht="14.25" customHeight="1" x14ac:dyDescent="0.2">
      <c r="A108" s="8">
        <f t="shared" si="3"/>
        <v>98</v>
      </c>
      <c r="B108" s="9">
        <v>-0.77510936936143005</v>
      </c>
      <c r="C108" s="9">
        <v>2.7353706805259702E-3</v>
      </c>
      <c r="D108" s="9">
        <v>2.8029425478675301E-2</v>
      </c>
      <c r="E108" s="9">
        <v>1.8986109074196501E-2</v>
      </c>
      <c r="F108" s="9">
        <v>8.0835663864989304E-2</v>
      </c>
      <c r="G108" s="2">
        <v>0</v>
      </c>
      <c r="M108" s="8">
        <f t="shared" si="4"/>
        <v>98</v>
      </c>
      <c r="N108" s="9">
        <v>-0.87021888568247296</v>
      </c>
      <c r="O108" s="9">
        <v>3.77090528109648E-3</v>
      </c>
      <c r="P108" s="9">
        <v>2.0928593925317499E-2</v>
      </c>
      <c r="Q108" s="9">
        <v>1.24591220067142E-2</v>
      </c>
      <c r="R108" s="9">
        <f t="shared" si="2"/>
        <v>3.1329682556864302E-2</v>
      </c>
    </row>
    <row r="109" spans="1:23" ht="14.25" customHeight="1" x14ac:dyDescent="0.2">
      <c r="A109" s="8">
        <f t="shared" si="3"/>
        <v>99</v>
      </c>
      <c r="B109" s="9">
        <v>-0.70483087577011005</v>
      </c>
      <c r="C109" s="9">
        <v>2.5543177867552499E-3</v>
      </c>
      <c r="D109" s="9">
        <v>2.6755360684190099E-2</v>
      </c>
      <c r="E109" s="9">
        <v>1.8919308000643401E-2</v>
      </c>
      <c r="F109" s="9">
        <v>8.0835663864989304E-2</v>
      </c>
      <c r="G109" s="2">
        <v>0</v>
      </c>
      <c r="M109" s="8">
        <f t="shared" si="4"/>
        <v>99</v>
      </c>
      <c r="N109" s="9">
        <v>-0.78431021909380705</v>
      </c>
      <c r="O109" s="9">
        <v>3.55513465856091E-3</v>
      </c>
      <c r="P109" s="9">
        <v>1.99772942014395E-2</v>
      </c>
      <c r="Q109" s="9">
        <v>1.2090921542554599E-2</v>
      </c>
      <c r="R109" s="9">
        <f t="shared" si="2"/>
        <v>3.1329682556864302E-2</v>
      </c>
    </row>
    <row r="110" spans="1:23" ht="14.25" customHeight="1" x14ac:dyDescent="0.2">
      <c r="A110" s="8">
        <f t="shared" si="3"/>
        <v>100</v>
      </c>
      <c r="B110" s="9">
        <v>-0.638488117730037</v>
      </c>
      <c r="C110" s="9">
        <v>2.3852486985345899E-3</v>
      </c>
      <c r="D110" s="9">
        <v>2.54812958897048E-2</v>
      </c>
      <c r="E110" s="9">
        <v>1.8760175356091799E-2</v>
      </c>
      <c r="F110" s="9">
        <v>8.0835663864989304E-2</v>
      </c>
      <c r="G110" s="2">
        <v>0</v>
      </c>
      <c r="M110" s="8">
        <f t="shared" si="4"/>
        <v>100</v>
      </c>
      <c r="N110" s="9">
        <v>-0.70333405786057401</v>
      </c>
      <c r="O110" s="9">
        <v>3.35171039799385E-3</v>
      </c>
      <c r="P110" s="9">
        <v>1.9025994477561401E-2</v>
      </c>
      <c r="Q110" s="9">
        <v>1.1642856444705999E-2</v>
      </c>
      <c r="R110" s="9">
        <f t="shared" si="2"/>
        <v>3.1329682556864302E-2</v>
      </c>
    </row>
    <row r="111" spans="1:23" ht="14.25" customHeight="1" x14ac:dyDescent="0.2">
      <c r="A111" s="8">
        <f t="shared" si="3"/>
        <v>101</v>
      </c>
      <c r="B111" s="9">
        <v>-0.57618756579873098</v>
      </c>
      <c r="C111" s="9">
        <v>2.22737021343308E-3</v>
      </c>
      <c r="D111" s="9">
        <v>2.4207231095219599E-2</v>
      </c>
      <c r="E111" s="9">
        <v>1.85070230362346E-2</v>
      </c>
      <c r="F111" s="9">
        <v>8.0835663864989304E-2</v>
      </c>
      <c r="G111" s="2">
        <v>0</v>
      </c>
      <c r="M111" s="8">
        <f t="shared" si="4"/>
        <v>101</v>
      </c>
      <c r="N111" s="9">
        <v>-0.627479095127075</v>
      </c>
      <c r="O111" s="9">
        <v>3.1599260424547502E-3</v>
      </c>
      <c r="P111" s="9">
        <v>1.8074694753683299E-2</v>
      </c>
      <c r="Q111" s="9">
        <v>1.11245302613747E-2</v>
      </c>
      <c r="R111" s="9">
        <f t="shared" si="2"/>
        <v>3.1329682556864302E-2</v>
      </c>
    </row>
    <row r="112" spans="1:23" ht="14.25" customHeight="1" x14ac:dyDescent="0.2">
      <c r="A112" s="8">
        <f t="shared" si="3"/>
        <v>102</v>
      </c>
      <c r="B112" s="9">
        <v>-0.517990562199101</v>
      </c>
      <c r="C112" s="9">
        <v>2.0799416307141902E-3</v>
      </c>
      <c r="D112" s="9">
        <v>2.2933166300734401E-2</v>
      </c>
      <c r="E112" s="9">
        <v>1.8159861502384401E-2</v>
      </c>
      <c r="F112" s="9">
        <v>8.0835663864989304E-2</v>
      </c>
      <c r="G112" s="2">
        <v>0</v>
      </c>
      <c r="M112" s="8">
        <f t="shared" si="4"/>
        <v>102</v>
      </c>
      <c r="N112" s="9">
        <v>-0.55687165049956899</v>
      </c>
      <c r="O112" s="9">
        <v>2.9791155583609799E-3</v>
      </c>
      <c r="P112" s="9">
        <v>1.71233950298053E-2</v>
      </c>
      <c r="Q112" s="9">
        <v>1.0547562359805101E-2</v>
      </c>
      <c r="R112" s="9">
        <f t="shared" si="2"/>
        <v>3.1329682556864302E-2</v>
      </c>
    </row>
    <row r="113" spans="1:18" ht="14.25" customHeight="1" x14ac:dyDescent="0.2">
      <c r="A113" s="8">
        <f t="shared" si="3"/>
        <v>103</v>
      </c>
      <c r="B113" s="9">
        <v>-0.46391269010816699</v>
      </c>
      <c r="C113" s="9">
        <v>1.94227127627338E-3</v>
      </c>
      <c r="D113" s="9">
        <v>2.1659101506249102E-2</v>
      </c>
      <c r="E113" s="9">
        <v>1.77204157681508E-2</v>
      </c>
      <c r="F113" s="9">
        <v>8.0835663864989304E-2</v>
      </c>
      <c r="G113" s="2">
        <v>0</v>
      </c>
      <c r="M113" s="8">
        <f t="shared" si="4"/>
        <v>103</v>
      </c>
      <c r="N113" s="9">
        <v>-0.49157146699895299</v>
      </c>
      <c r="O113" s="9">
        <v>2.80865102246947E-3</v>
      </c>
      <c r="P113" s="9">
        <v>1.6172095305927201E-2</v>
      </c>
      <c r="Q113" s="9">
        <v>9.9250918858422698E-3</v>
      </c>
      <c r="R113" s="9">
        <f t="shared" si="2"/>
        <v>3.1329682556864302E-2</v>
      </c>
    </row>
    <row r="114" spans="1:18" ht="14.25" customHeight="1" x14ac:dyDescent="0.2">
      <c r="A114" s="8">
        <f t="shared" si="3"/>
        <v>104</v>
      </c>
      <c r="B114" s="9">
        <v>-0.41392471842692402</v>
      </c>
      <c r="C114" s="9">
        <v>1.8137132575885299E-3</v>
      </c>
      <c r="D114" s="9">
        <v>2.03850367117639E-2</v>
      </c>
      <c r="E114" s="9">
        <v>1.7192048421704E-2</v>
      </c>
      <c r="F114" s="9">
        <v>8.0835663864989304E-2</v>
      </c>
      <c r="G114" s="2">
        <v>0</v>
      </c>
      <c r="M114" s="8">
        <f t="shared" si="4"/>
        <v>104</v>
      </c>
      <c r="N114" s="9">
        <v>-0.43157037981362001</v>
      </c>
      <c r="O114" s="9">
        <v>2.6479404412089501E-3</v>
      </c>
      <c r="P114" s="9">
        <v>1.52207955820491E-2</v>
      </c>
      <c r="Q114" s="9">
        <v>9.2711684317575305E-3</v>
      </c>
      <c r="R114" s="9">
        <f t="shared" si="2"/>
        <v>3.1329682556864302E-2</v>
      </c>
    </row>
    <row r="115" spans="1:18" ht="14.25" customHeight="1" x14ac:dyDescent="0.2">
      <c r="A115" s="8">
        <f t="shared" si="3"/>
        <v>105</v>
      </c>
      <c r="B115" s="9">
        <v>-0.36795506310905401</v>
      </c>
      <c r="C115" s="9">
        <v>1.6936644334585699E-3</v>
      </c>
      <c r="D115" s="9">
        <v>1.9110971917278601E-2</v>
      </c>
      <c r="E115" s="9">
        <v>1.6579596632723799E-2</v>
      </c>
      <c r="F115" s="9">
        <v>8.0835663864989304E-2</v>
      </c>
      <c r="G115" s="2">
        <v>0</v>
      </c>
      <c r="M115" s="8">
        <f t="shared" si="4"/>
        <v>105</v>
      </c>
      <c r="N115" s="9">
        <v>-0.37679399337930702</v>
      </c>
      <c r="O115" s="9">
        <v>2.49642569478959E-3</v>
      </c>
      <c r="P115" s="9">
        <v>1.4269495858171E-2</v>
      </c>
      <c r="Q115" s="9">
        <v>8.6000886173804494E-3</v>
      </c>
      <c r="R115" s="9">
        <f t="shared" si="2"/>
        <v>3.1329682556864302E-2</v>
      </c>
    </row>
    <row r="116" spans="1:18" ht="14.25" customHeight="1" x14ac:dyDescent="0.2">
      <c r="A116" s="8">
        <f t="shared" si="3"/>
        <v>106</v>
      </c>
      <c r="B116" s="9">
        <v>-0.32589359122454797</v>
      </c>
      <c r="C116" s="9">
        <v>1.58156158431373E-3</v>
      </c>
      <c r="D116" s="9">
        <v>1.78369071227934E-2</v>
      </c>
      <c r="E116" s="9">
        <v>1.58891384622111E-2</v>
      </c>
      <c r="F116" s="9">
        <v>8.0835663864989304E-2</v>
      </c>
      <c r="G116" s="2">
        <v>0</v>
      </c>
      <c r="M116" s="8">
        <f t="shared" si="4"/>
        <v>106</v>
      </c>
      <c r="N116" s="9">
        <v>-0.327106216260445</v>
      </c>
      <c r="O116" s="9">
        <v>2.3535805989504501E-3</v>
      </c>
      <c r="P116" s="9">
        <v>1.3318196134292999E-2</v>
      </c>
      <c r="Q116" s="9">
        <v>7.9257436162528793E-3</v>
      </c>
      <c r="R116" s="9">
        <f t="shared" si="2"/>
        <v>3.1329682556864302E-2</v>
      </c>
    </row>
    <row r="117" spans="1:18" ht="14.25" customHeight="1" x14ac:dyDescent="0.2">
      <c r="A117" s="8">
        <f t="shared" si="3"/>
        <v>107</v>
      </c>
      <c r="B117" s="9">
        <v>-0.28759650132480502</v>
      </c>
      <c r="C117" s="9">
        <v>1.4768787698216401E-3</v>
      </c>
      <c r="D117" s="9">
        <v>1.6562842328308201E-2</v>
      </c>
      <c r="E117" s="9">
        <v>1.51277098499965E-2</v>
      </c>
      <c r="F117" s="9">
        <v>8.0835663864989304E-2</v>
      </c>
      <c r="G117" s="2">
        <v>0</v>
      </c>
      <c r="M117" s="8">
        <f t="shared" si="4"/>
        <v>107</v>
      </c>
      <c r="N117" s="9">
        <v>-0.28231624044677001</v>
      </c>
      <c r="O117" s="9">
        <v>2.2189090776133999E-3</v>
      </c>
      <c r="P117" s="9">
        <v>1.23668964104149E-2</v>
      </c>
      <c r="Q117" s="9">
        <v>7.2610378403530004E-3</v>
      </c>
      <c r="R117" s="9">
        <f t="shared" si="2"/>
        <v>3.1329682556864302E-2</v>
      </c>
    </row>
    <row r="118" spans="1:18" ht="14.25" customHeight="1" x14ac:dyDescent="0.2">
      <c r="A118" s="8">
        <f t="shared" si="3"/>
        <v>108</v>
      </c>
      <c r="B118" s="9">
        <v>-0.25289195359647798</v>
      </c>
      <c r="C118" s="9">
        <v>1.37912486139219E-3</v>
      </c>
      <c r="D118" s="9">
        <v>1.5288777533822901E-2</v>
      </c>
      <c r="E118" s="9">
        <v>1.43029966242216E-2</v>
      </c>
      <c r="F118" s="9">
        <v>8.0835663864989304E-2</v>
      </c>
      <c r="G118" s="2">
        <v>0</v>
      </c>
      <c r="M118" s="8">
        <f t="shared" si="4"/>
        <v>108</v>
      </c>
      <c r="N118" s="9">
        <v>-0.24218735326146801</v>
      </c>
      <c r="O118" s="9">
        <v>2.0919434400975098E-3</v>
      </c>
      <c r="P118" s="9">
        <v>1.14155966865368E-2</v>
      </c>
      <c r="Q118" s="9">
        <v>6.6174251616468796E-3</v>
      </c>
      <c r="R118" s="9">
        <f t="shared" si="2"/>
        <v>3.1329682556864302E-2</v>
      </c>
    </row>
    <row r="119" spans="1:18" ht="14.25" customHeight="1" x14ac:dyDescent="0.2">
      <c r="A119" s="8">
        <f t="shared" si="3"/>
        <v>109</v>
      </c>
      <c r="B119" s="9">
        <v>-0.22158610012892399</v>
      </c>
      <c r="C119" s="9">
        <v>1.2878412380047399E-3</v>
      </c>
      <c r="D119" s="9">
        <v>1.4014712739337701E-2</v>
      </c>
      <c r="E119" s="9">
        <v>1.3423025620072099E-2</v>
      </c>
      <c r="F119" s="9">
        <v>8.0835663864989304E-2</v>
      </c>
      <c r="G119" s="2">
        <v>0</v>
      </c>
      <c r="M119" s="8">
        <f t="shared" si="4"/>
        <v>109</v>
      </c>
      <c r="N119" s="9">
        <v>-0.20644686144417099</v>
      </c>
      <c r="O119" s="9">
        <v>1.9722427569109501E-3</v>
      </c>
      <c r="P119" s="9">
        <v>1.04642969626588E-2</v>
      </c>
      <c r="Q119" s="9">
        <v>6.0045897584041098E-3</v>
      </c>
      <c r="R119" s="9">
        <f t="shared" si="2"/>
        <v>3.1329682556864302E-2</v>
      </c>
    </row>
    <row r="120" spans="1:18" ht="14.25" customHeight="1" x14ac:dyDescent="0.2">
      <c r="A120" s="8">
        <f t="shared" si="3"/>
        <v>110</v>
      </c>
      <c r="B120" s="9">
        <v>-0.193469177746211</v>
      </c>
      <c r="C120" s="9">
        <v>1.20259963454748E-3</v>
      </c>
      <c r="D120" s="9">
        <v>1.27406479448524E-2</v>
      </c>
      <c r="E120" s="9">
        <v>1.24958759643809E-2</v>
      </c>
      <c r="F120" s="9">
        <v>8.0835663864989304E-2</v>
      </c>
      <c r="G120" s="2">
        <v>0</v>
      </c>
      <c r="M120" s="8">
        <f t="shared" si="4"/>
        <v>110</v>
      </c>
      <c r="N120" s="9">
        <v>-0.17479639417828199</v>
      </c>
      <c r="O120" s="9">
        <v>1.8593913284798999E-3</v>
      </c>
      <c r="P120" s="9">
        <v>9.5129972387807005E-3</v>
      </c>
      <c r="Q120" s="9">
        <v>5.4302782341541303E-3</v>
      </c>
      <c r="R120" s="9">
        <f t="shared" si="2"/>
        <v>3.1329682556864302E-2</v>
      </c>
    </row>
    <row r="121" spans="1:18" ht="14.25" customHeight="1" x14ac:dyDescent="0.2">
      <c r="A121" s="8">
        <f t="shared" si="3"/>
        <v>111</v>
      </c>
      <c r="B121" s="9">
        <v>-0.16832136676221199</v>
      </c>
      <c r="C121" s="9">
        <v>1.12300013257411E-3</v>
      </c>
      <c r="D121" s="9">
        <v>1.14665831503672E-2</v>
      </c>
      <c r="E121" s="9">
        <v>1.15294266403343E-2</v>
      </c>
      <c r="F121" s="9">
        <v>8.0835663864989304E-2</v>
      </c>
      <c r="G121" s="2">
        <v>0</v>
      </c>
      <c r="M121" s="8">
        <f t="shared" si="4"/>
        <v>111</v>
      </c>
      <c r="N121" s="9">
        <v>-0.14692192287167699</v>
      </c>
      <c r="O121" s="9">
        <v>1.7529972414964401E-3</v>
      </c>
      <c r="P121" s="9">
        <v>8.5616975149026293E-3</v>
      </c>
      <c r="Q121" s="9">
        <v>4.9002718791216404E-3</v>
      </c>
      <c r="R121" s="9">
        <f t="shared" si="2"/>
        <v>3.1329682556864302E-2</v>
      </c>
    </row>
    <row r="122" spans="1:18" ht="14.25" customHeight="1" x14ac:dyDescent="0.2">
      <c r="A122" s="8">
        <f t="shared" si="3"/>
        <v>112</v>
      </c>
      <c r="B122" s="9">
        <v>-0.14591817927039799</v>
      </c>
      <c r="C122" s="9">
        <v>1.04866928405147E-3</v>
      </c>
      <c r="D122" s="9">
        <v>1.0192518355882E-2</v>
      </c>
      <c r="E122" s="9">
        <v>1.05311506163633E-2</v>
      </c>
      <c r="F122" s="9">
        <v>8.0835663864989304E-2</v>
      </c>
      <c r="G122" s="2">
        <v>0</v>
      </c>
      <c r="M122" s="8">
        <f t="shared" si="4"/>
        <v>112</v>
      </c>
      <c r="N122" s="9">
        <v>-0.122502965924319</v>
      </c>
      <c r="O122" s="9">
        <v>1.65269100787213E-3</v>
      </c>
      <c r="P122" s="9">
        <v>7.6103977910245597E-3</v>
      </c>
      <c r="Q122" s="9">
        <v>4.4184752973725899E-3</v>
      </c>
      <c r="R122" s="9">
        <f t="shared" si="2"/>
        <v>3.1329682556864302E-2</v>
      </c>
    </row>
    <row r="123" spans="1:18" ht="14.25" customHeight="1" x14ac:dyDescent="0.2">
      <c r="A123" s="8">
        <f t="shared" si="3"/>
        <v>113</v>
      </c>
      <c r="B123" s="9">
        <v>-0.126035209960593</v>
      </c>
      <c r="C123" s="9">
        <v>9.7925835929538402E-4</v>
      </c>
      <c r="D123" s="9">
        <v>8.9184535613967102E-3</v>
      </c>
      <c r="E123" s="9">
        <v>9.5079600585965506E-3</v>
      </c>
      <c r="F123" s="9">
        <v>8.0835663864989304E-2</v>
      </c>
      <c r="G123" s="2">
        <v>0</v>
      </c>
      <c r="M123" s="8">
        <f t="shared" si="4"/>
        <v>113</v>
      </c>
      <c r="N123" s="9">
        <v>-0.101220607166273</v>
      </c>
      <c r="O123" s="9">
        <v>1.5581242815703199E-3</v>
      </c>
      <c r="P123" s="9">
        <v>6.6590980671464902E-3</v>
      </c>
      <c r="Q123" s="9">
        <v>3.98709096459885E-3</v>
      </c>
      <c r="R123" s="9">
        <f t="shared" si="2"/>
        <v>3.1329682556864302E-2</v>
      </c>
    </row>
    <row r="124" spans="1:18" ht="14.25" customHeight="1" x14ac:dyDescent="0.2">
      <c r="A124" s="8">
        <f t="shared" si="3"/>
        <v>114</v>
      </c>
      <c r="B124" s="9">
        <v>-0.108452151773959</v>
      </c>
      <c r="C124" s="9">
        <v>9.1444171087481105E-4</v>
      </c>
      <c r="D124" s="9">
        <v>7.6443887669114703E-3</v>
      </c>
      <c r="E124" s="9">
        <v>8.4661021676662104E-3</v>
      </c>
      <c r="F124" s="9">
        <v>8.0835663864989304E-2</v>
      </c>
      <c r="G124" s="2">
        <v>0</v>
      </c>
      <c r="M124" s="8">
        <f t="shared" si="4"/>
        <v>114</v>
      </c>
      <c r="N124" s="9">
        <v>-8.2764119767442801E-2</v>
      </c>
      <c r="O124" s="9">
        <v>1.4689686488612299E-3</v>
      </c>
      <c r="P124" s="9">
        <v>5.7077983432684198E-3</v>
      </c>
      <c r="Q124" s="9">
        <v>3.6068480954639E-3</v>
      </c>
      <c r="R124" s="9">
        <f t="shared" si="2"/>
        <v>3.1329682556864302E-2</v>
      </c>
    </row>
    <row r="125" spans="1:18" ht="14.25" customHeight="1" x14ac:dyDescent="0.2">
      <c r="A125" s="8">
        <f t="shared" si="3"/>
        <v>115</v>
      </c>
      <c r="B125" s="9">
        <v>-9.2956040969819395E-2</v>
      </c>
      <c r="C125" s="9">
        <v>8.5391524580840305E-4</v>
      </c>
      <c r="D125" s="9">
        <v>6.3703239724262296E-3</v>
      </c>
      <c r="E125" s="9">
        <v>7.4111014074425803E-3</v>
      </c>
      <c r="F125" s="9">
        <v>8.0835663864989304E-2</v>
      </c>
      <c r="G125" s="2">
        <v>0</v>
      </c>
      <c r="M125" s="8">
        <f t="shared" si="4"/>
        <v>115</v>
      </c>
      <c r="N125" s="9">
        <v>-6.6836132464585099E-2</v>
      </c>
      <c r="O125" s="9">
        <v>1.3849144877983799E-3</v>
      </c>
      <c r="P125" s="9">
        <v>4.7564986193903503E-3</v>
      </c>
      <c r="Q125" s="9">
        <v>3.2772571198701902E-3</v>
      </c>
      <c r="R125" s="9">
        <f t="shared" si="2"/>
        <v>3.1329682556864302E-2</v>
      </c>
    </row>
    <row r="126" spans="1:18" ht="14.25" customHeight="1" x14ac:dyDescent="0.2">
      <c r="A126" s="8">
        <f t="shared" si="3"/>
        <v>116</v>
      </c>
      <c r="B126" s="9">
        <v>-7.9343747036648496E-2</v>
      </c>
      <c r="C126" s="9">
        <v>7.9739499888566504E-4</v>
      </c>
      <c r="D126" s="9">
        <v>5.0962591779409898E-3</v>
      </c>
      <c r="E126" s="9">
        <v>6.3477414556321497E-3</v>
      </c>
      <c r="F126" s="9">
        <v>8.0835663864989304E-2</v>
      </c>
      <c r="G126" s="2">
        <v>0</v>
      </c>
      <c r="M126" s="8">
        <f t="shared" si="4"/>
        <v>116</v>
      </c>
      <c r="N126" s="9">
        <v>-5.3156389622504199E-2</v>
      </c>
      <c r="O126" s="9">
        <v>1.3056698929556599E-3</v>
      </c>
      <c r="P126" s="9">
        <v>3.8051988955122799E-3</v>
      </c>
      <c r="Q126" s="9">
        <v>2.9968664397229498E-3</v>
      </c>
      <c r="R126" s="9">
        <f t="shared" si="2"/>
        <v>3.1329682556864302E-2</v>
      </c>
    </row>
    <row r="127" spans="1:18" ht="14.25" customHeight="1" x14ac:dyDescent="0.2">
      <c r="A127" s="8">
        <f t="shared" si="3"/>
        <v>117</v>
      </c>
      <c r="B127" s="9">
        <v>-6.7423760502390906E-2</v>
      </c>
      <c r="C127" s="9">
        <v>7.4461580041930203E-4</v>
      </c>
      <c r="D127" s="9">
        <v>3.8221943834557399E-3</v>
      </c>
      <c r="E127" s="9">
        <v>5.2800790110478198E-3</v>
      </c>
      <c r="F127" s="9">
        <v>8.0835663864989304E-2</v>
      </c>
      <c r="G127" s="2">
        <v>0</v>
      </c>
      <c r="M127" s="8">
        <f t="shared" si="4"/>
        <v>117</v>
      </c>
      <c r="N127" s="9">
        <v>-4.1464236586145301E-2</v>
      </c>
      <c r="O127" s="9">
        <v>1.2309596616906901E-3</v>
      </c>
      <c r="P127" s="9">
        <v>2.8538991716342099E-3</v>
      </c>
      <c r="Q127" s="9">
        <v>2.7635044490164598E-3</v>
      </c>
      <c r="R127" s="9">
        <f t="shared" si="2"/>
        <v>3.1329682556864302E-2</v>
      </c>
    </row>
    <row r="128" spans="1:18" ht="14.25" customHeight="1" x14ac:dyDescent="0.2">
      <c r="A128" s="8">
        <f t="shared" si="3"/>
        <v>118</v>
      </c>
      <c r="B128" s="9">
        <v>-5.7017356263499602E-2</v>
      </c>
      <c r="C128" s="9">
        <v>6.95330032178418E-4</v>
      </c>
      <c r="D128" s="9">
        <v>2.5481295889705001E-3</v>
      </c>
      <c r="E128" s="9">
        <v>4.2114814094608797E-3</v>
      </c>
      <c r="F128" s="9">
        <v>8.0835663864989304E-2</v>
      </c>
      <c r="G128" s="2">
        <v>0</v>
      </c>
      <c r="M128" s="8">
        <f t="shared" si="4"/>
        <v>118</v>
      </c>
      <c r="N128" s="9">
        <v>-3.1520008673866999E-2</v>
      </c>
      <c r="O128" s="9">
        <v>1.16052433841417E-3</v>
      </c>
      <c r="P128" s="9">
        <v>1.90259944775613E-3</v>
      </c>
      <c r="Q128" s="9">
        <v>2.5744959166144601E-3</v>
      </c>
      <c r="R128" s="9">
        <f t="shared" si="2"/>
        <v>3.1329682556864302E-2</v>
      </c>
    </row>
    <row r="129" spans="1:18" ht="14.25" customHeight="1" x14ac:dyDescent="0.2">
      <c r="A129" s="8">
        <f t="shared" si="3"/>
        <v>119</v>
      </c>
      <c r="B129" s="9">
        <v>-4.7959223088118702E-2</v>
      </c>
      <c r="C129" s="9">
        <v>6.4930646566589603E-4</v>
      </c>
      <c r="D129" s="9">
        <v>1.27406479448526E-3</v>
      </c>
      <c r="E129" s="9">
        <v>3.14468054304378E-3</v>
      </c>
      <c r="F129" s="9">
        <v>8.0835663864989304E-2</v>
      </c>
      <c r="G129" s="2">
        <v>0</v>
      </c>
      <c r="M129" s="8">
        <f t="shared" si="4"/>
        <v>119</v>
      </c>
      <c r="N129" s="9">
        <v>-2.31055213861582E-2</v>
      </c>
      <c r="O129" s="9">
        <v>1.09411931354585E-3</v>
      </c>
      <c r="P129" s="9">
        <v>9.51299723878064E-4</v>
      </c>
      <c r="Q129" s="9">
        <v>2.4268470605900102E-3</v>
      </c>
      <c r="R129" s="9">
        <f t="shared" si="2"/>
        <v>3.1329682556864302E-2</v>
      </c>
    </row>
    <row r="130" spans="1:18" ht="14.25" customHeight="1" x14ac:dyDescent="0.2">
      <c r="A130" s="8">
        <f t="shared" si="3"/>
        <v>120</v>
      </c>
      <c r="B130" s="9">
        <v>-4.0097653704525602E-2</v>
      </c>
      <c r="C130" s="9">
        <v>6.0632917728966696E-4</v>
      </c>
      <c r="D130" s="9">
        <v>2.0816681711721701E-17</v>
      </c>
      <c r="E130" s="9">
        <v>2.0818365667854E-3</v>
      </c>
      <c r="F130" s="9">
        <v>8.0835663864989304E-2</v>
      </c>
      <c r="G130" s="2">
        <v>0</v>
      </c>
      <c r="M130" s="8">
        <f t="shared" si="4"/>
        <v>120</v>
      </c>
      <c r="N130" s="9">
        <v>-1.6023857894523701E-2</v>
      </c>
      <c r="O130" s="9">
        <v>1.0315139740281901E-3</v>
      </c>
      <c r="P130" s="9">
        <v>-5.8546917314217201E-18</v>
      </c>
      <c r="Q130" s="9">
        <v>2.3173976808899001E-3</v>
      </c>
      <c r="R130" s="9">
        <f t="shared" si="2"/>
        <v>3.1329682556864302E-2</v>
      </c>
    </row>
  </sheetData>
  <mergeCells count="2">
    <mergeCell ref="A8:J8"/>
    <mergeCell ref="M8:V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0AC241-93B9-4D40-84A7-20430824B7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22FBE1-3602-4EA9-BFB7-8F029C0375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79f8b7-d622-42ea-86ff-b795f6d33aee"/>
    <ds:schemaRef ds:uri="1f76098b-bbfc-4df3-8248-9e041eacd3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30BBFE-B4D6-44E7-8360-0007FF34EC6D}">
  <ds:schemaRefs>
    <ds:schemaRef ds:uri="http://schemas.microsoft.com/office/2006/metadata/properties"/>
    <ds:schemaRef ds:uri="http://schemas.microsoft.com/office/infopath/2007/PartnerControls"/>
    <ds:schemaRef ds:uri="1f76098b-bbfc-4df3-8248-9e041eacd3ff"/>
    <ds:schemaRef ds:uri="1c79f8b7-d622-42ea-86ff-b795f6d33ae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Parameterwaarden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Zeus Paraguas</dc:creator>
  <cp:lastModifiedBy>Frank Tesselaar</cp:lastModifiedBy>
  <dcterms:created xsi:type="dcterms:W3CDTF">2024-09-01T13:55:21Z</dcterms:created>
  <dcterms:modified xsi:type="dcterms:W3CDTF">2026-04-01T16:46:53Z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