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o012\Documents\Deelopdracht 6\Input data\"/>
    </mc:Choice>
  </mc:AlternateContent>
  <xr:revisionPtr revIDLastSave="0" documentId="13_ncr:1_{D191929B-4C4D-43F4-9580-C92CD5FF7A47}" xr6:coauthVersionLast="47" xr6:coauthVersionMax="47" xr10:uidLastSave="{00000000-0000-0000-0000-000000000000}"/>
  <bookViews>
    <workbookView xWindow="-120" yWindow="-120" windowWidth="28920" windowHeight="13140" xr2:uid="{2AC61D00-0222-4119-9E1D-FAA7E2753460}"/>
  </bookViews>
  <sheets>
    <sheet name="Bewerkingen" sheetId="1" r:id="rId1"/>
    <sheet name="Phi" sheetId="2" r:id="rId2"/>
    <sheet name="Dagen_per_week" sheetId="3" r:id="rId3"/>
    <sheet name="Nfra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Q3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H55" i="1"/>
  <c r="G55" i="1"/>
  <c r="C55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B2" i="1" l="1"/>
  <c r="D54" i="1" s="1"/>
  <c r="F50" i="1"/>
  <c r="D49" i="1"/>
  <c r="E48" i="1"/>
  <c r="D48" i="1"/>
  <c r="F46" i="1"/>
  <c r="E46" i="1"/>
  <c r="F45" i="1"/>
  <c r="E45" i="1"/>
  <c r="D44" i="1"/>
  <c r="F43" i="1"/>
  <c r="D43" i="1"/>
  <c r="F42" i="1"/>
  <c r="E41" i="1"/>
  <c r="D41" i="1"/>
  <c r="E40" i="1"/>
  <c r="D40" i="1"/>
  <c r="F38" i="1"/>
  <c r="E38" i="1"/>
  <c r="F37" i="1"/>
  <c r="E37" i="1"/>
  <c r="D36" i="1"/>
  <c r="F35" i="1"/>
  <c r="D35" i="1"/>
  <c r="F34" i="1"/>
  <c r="E33" i="1"/>
  <c r="D33" i="1"/>
  <c r="E32" i="1"/>
  <c r="D32" i="1"/>
  <c r="F30" i="1"/>
  <c r="E30" i="1"/>
  <c r="F29" i="1"/>
  <c r="E29" i="1"/>
  <c r="D28" i="1"/>
  <c r="F27" i="1"/>
  <c r="D27" i="1"/>
  <c r="F26" i="1"/>
  <c r="E25" i="1"/>
  <c r="D25" i="1"/>
  <c r="E24" i="1"/>
  <c r="D24" i="1"/>
  <c r="F22" i="1"/>
  <c r="E22" i="1"/>
  <c r="F21" i="1"/>
  <c r="E21" i="1"/>
  <c r="E20" i="1"/>
  <c r="D20" i="1"/>
  <c r="F19" i="1"/>
  <c r="D19" i="1"/>
  <c r="F18" i="1"/>
  <c r="F17" i="1"/>
  <c r="E17" i="1"/>
  <c r="D17" i="1"/>
  <c r="E16" i="1"/>
  <c r="D16" i="1"/>
  <c r="D15" i="1"/>
  <c r="F14" i="1"/>
  <c r="E14" i="1"/>
  <c r="F13" i="1"/>
  <c r="E13" i="1"/>
  <c r="E12" i="1"/>
  <c r="D12" i="1"/>
  <c r="F11" i="1"/>
  <c r="D11" i="1"/>
  <c r="F10" i="1"/>
  <c r="F9" i="1"/>
  <c r="E9" i="1"/>
  <c r="D9" i="1"/>
  <c r="E8" i="1"/>
  <c r="D8" i="1"/>
  <c r="D7" i="1"/>
  <c r="F6" i="1"/>
  <c r="E6" i="1"/>
  <c r="F5" i="1"/>
  <c r="E5" i="1"/>
  <c r="E4" i="1"/>
  <c r="D4" i="1"/>
  <c r="F3" i="1"/>
  <c r="D3" i="1"/>
  <c r="F2" i="1"/>
  <c r="E49" i="1" l="1"/>
  <c r="D51" i="1"/>
  <c r="F51" i="1"/>
  <c r="F54" i="1"/>
  <c r="D52" i="1"/>
  <c r="E3" i="1"/>
  <c r="D6" i="1"/>
  <c r="F8" i="1"/>
  <c r="E11" i="1"/>
  <c r="D14" i="1"/>
  <c r="F16" i="1"/>
  <c r="E19" i="1"/>
  <c r="D22" i="1"/>
  <c r="F24" i="1"/>
  <c r="E27" i="1"/>
  <c r="D30" i="1"/>
  <c r="F32" i="1"/>
  <c r="E35" i="1"/>
  <c r="D38" i="1"/>
  <c r="F40" i="1"/>
  <c r="E43" i="1"/>
  <c r="D46" i="1"/>
  <c r="F48" i="1"/>
  <c r="E51" i="1"/>
  <c r="D23" i="1"/>
  <c r="E28" i="1"/>
  <c r="F33" i="1"/>
  <c r="D39" i="1"/>
  <c r="E44" i="1"/>
  <c r="D47" i="1"/>
  <c r="E52" i="1"/>
  <c r="D2" i="1"/>
  <c r="F4" i="1"/>
  <c r="E7" i="1"/>
  <c r="D10" i="1"/>
  <c r="F12" i="1"/>
  <c r="E15" i="1"/>
  <c r="D18" i="1"/>
  <c r="F20" i="1"/>
  <c r="E23" i="1"/>
  <c r="D26" i="1"/>
  <c r="F28" i="1"/>
  <c r="E31" i="1"/>
  <c r="D34" i="1"/>
  <c r="F36" i="1"/>
  <c r="E39" i="1"/>
  <c r="D42" i="1"/>
  <c r="F44" i="1"/>
  <c r="E47" i="1"/>
  <c r="D50" i="1"/>
  <c r="F52" i="1"/>
  <c r="F25" i="1"/>
  <c r="D31" i="1"/>
  <c r="E36" i="1"/>
  <c r="F41" i="1"/>
  <c r="F49" i="1"/>
  <c r="E2" i="1"/>
  <c r="D5" i="1"/>
  <c r="F7" i="1"/>
  <c r="E10" i="1"/>
  <c r="D13" i="1"/>
  <c r="F15" i="1"/>
  <c r="E18" i="1"/>
  <c r="D21" i="1"/>
  <c r="F23" i="1"/>
  <c r="E26" i="1"/>
  <c r="D29" i="1"/>
  <c r="F31" i="1"/>
  <c r="E34" i="1"/>
  <c r="D37" i="1"/>
  <c r="F39" i="1"/>
  <c r="E42" i="1"/>
  <c r="D45" i="1"/>
  <c r="F47" i="1"/>
  <c r="E50" i="1"/>
  <c r="D53" i="1"/>
  <c r="E53" i="1"/>
  <c r="F53" i="1"/>
  <c r="E54" i="1"/>
  <c r="B55" i="1"/>
  <c r="S16" i="1" l="1"/>
  <c r="T46" i="1"/>
  <c r="R41" i="1"/>
  <c r="S50" i="1"/>
  <c r="T39" i="1"/>
  <c r="R29" i="1"/>
  <c r="S18" i="1"/>
  <c r="T54" i="1"/>
  <c r="S54" i="1"/>
  <c r="S31" i="1"/>
  <c r="S52" i="1"/>
  <c r="T33" i="1"/>
  <c r="R38" i="1"/>
  <c r="S27" i="1"/>
  <c r="R6" i="1"/>
  <c r="T37" i="1"/>
  <c r="R27" i="1"/>
  <c r="S17" i="1"/>
  <c r="R9" i="1"/>
  <c r="S22" i="1"/>
  <c r="T42" i="1"/>
  <c r="S12" i="1"/>
  <c r="R4" i="1"/>
  <c r="T17" i="1"/>
  <c r="S49" i="1"/>
  <c r="T38" i="1"/>
  <c r="R28" i="1"/>
  <c r="T18" i="1"/>
  <c r="T9" i="1"/>
  <c r="T51" i="1"/>
  <c r="R25" i="1"/>
  <c r="T53" i="1"/>
  <c r="T47" i="1"/>
  <c r="R37" i="1"/>
  <c r="S26" i="1"/>
  <c r="T15" i="1"/>
  <c r="R5" i="1"/>
  <c r="S36" i="1"/>
  <c r="R50" i="1"/>
  <c r="S39" i="1"/>
  <c r="T28" i="1"/>
  <c r="R18" i="1"/>
  <c r="S7" i="1"/>
  <c r="R47" i="1"/>
  <c r="S28" i="1"/>
  <c r="R46" i="1"/>
  <c r="S35" i="1"/>
  <c r="T24" i="1"/>
  <c r="R14" i="1"/>
  <c r="S3" i="1"/>
  <c r="T45" i="1"/>
  <c r="R35" i="1"/>
  <c r="S24" i="1"/>
  <c r="R15" i="1"/>
  <c r="T6" i="1"/>
  <c r="S46" i="1"/>
  <c r="R16" i="1"/>
  <c r="T50" i="1"/>
  <c r="R40" i="1"/>
  <c r="S29" i="1"/>
  <c r="R19" i="1"/>
  <c r="T10" i="1"/>
  <c r="T43" i="1"/>
  <c r="S9" i="1"/>
  <c r="R36" i="1"/>
  <c r="S25" i="1"/>
  <c r="R8" i="1"/>
  <c r="R49" i="1"/>
  <c r="R20" i="1"/>
  <c r="T2" i="1"/>
  <c r="R32" i="1"/>
  <c r="S53" i="1"/>
  <c r="R45" i="1"/>
  <c r="T23" i="1"/>
  <c r="R13" i="1"/>
  <c r="S2" i="1"/>
  <c r="R31" i="1"/>
  <c r="S47" i="1"/>
  <c r="S15" i="1"/>
  <c r="T4" i="1"/>
  <c r="S44" i="1"/>
  <c r="R23" i="1"/>
  <c r="S43" i="1"/>
  <c r="T32" i="1"/>
  <c r="R22" i="1"/>
  <c r="S11" i="1"/>
  <c r="R54" i="1"/>
  <c r="R43" i="1"/>
  <c r="S32" i="1"/>
  <c r="T21" i="1"/>
  <c r="S13" i="1"/>
  <c r="S4" i="1"/>
  <c r="S38" i="1"/>
  <c r="T11" i="1"/>
  <c r="R48" i="1"/>
  <c r="S37" i="1"/>
  <c r="T26" i="1"/>
  <c r="R17" i="1"/>
  <c r="S8" i="1"/>
  <c r="T35" i="1"/>
  <c r="R3" i="1"/>
  <c r="R44" i="1"/>
  <c r="S33" i="1"/>
  <c r="T22" i="1"/>
  <c r="S14" i="1"/>
  <c r="T5" i="1"/>
  <c r="T13" i="1"/>
  <c r="T7" i="1"/>
  <c r="T41" i="1"/>
  <c r="T52" i="1"/>
  <c r="R42" i="1"/>
  <c r="T20" i="1"/>
  <c r="R10" i="1"/>
  <c r="T48" i="1"/>
  <c r="T16" i="1"/>
  <c r="S48" i="1"/>
  <c r="S21" i="1"/>
  <c r="S34" i="1"/>
  <c r="T36" i="1"/>
  <c r="R26" i="1"/>
  <c r="R53" i="1"/>
  <c r="S42" i="1"/>
  <c r="T31" i="1"/>
  <c r="R21" i="1"/>
  <c r="S10" i="1"/>
  <c r="T49" i="1"/>
  <c r="T25" i="1"/>
  <c r="T44" i="1"/>
  <c r="R34" i="1"/>
  <c r="S23" i="1"/>
  <c r="T12" i="1"/>
  <c r="R2" i="1"/>
  <c r="R39" i="1"/>
  <c r="S51" i="1"/>
  <c r="T40" i="1"/>
  <c r="R30" i="1"/>
  <c r="S19" i="1"/>
  <c r="T8" i="1"/>
  <c r="R51" i="1"/>
  <c r="S40" i="1"/>
  <c r="T29" i="1"/>
  <c r="T19" i="1"/>
  <c r="R11" i="1"/>
  <c r="S30" i="1"/>
  <c r="R7" i="1"/>
  <c r="S45" i="1"/>
  <c r="T34" i="1"/>
  <c r="R24" i="1"/>
  <c r="T14" i="1"/>
  <c r="S6" i="1"/>
  <c r="T27" i="1"/>
  <c r="R52" i="1"/>
  <c r="S41" i="1"/>
  <c r="T30" i="1"/>
  <c r="S20" i="1"/>
  <c r="R12" i="1"/>
  <c r="T3" i="1"/>
  <c r="R33" i="1"/>
  <c r="S5" i="1"/>
  <c r="C9" i="1"/>
  <c r="C17" i="1"/>
  <c r="C25" i="1"/>
  <c r="C33" i="1"/>
  <c r="C41" i="1"/>
  <c r="C49" i="1"/>
  <c r="C38" i="1"/>
  <c r="C10" i="1"/>
  <c r="C18" i="1"/>
  <c r="C26" i="1"/>
  <c r="C34" i="1"/>
  <c r="C42" i="1"/>
  <c r="C50" i="1"/>
  <c r="C46" i="1"/>
  <c r="C11" i="1"/>
  <c r="C19" i="1"/>
  <c r="C27" i="1"/>
  <c r="C35" i="1"/>
  <c r="C43" i="1"/>
  <c r="C51" i="1"/>
  <c r="C30" i="1"/>
  <c r="C4" i="1"/>
  <c r="C12" i="1"/>
  <c r="C20" i="1"/>
  <c r="C28" i="1"/>
  <c r="C36" i="1"/>
  <c r="C44" i="1"/>
  <c r="C52" i="1"/>
  <c r="C14" i="1"/>
  <c r="C5" i="1"/>
  <c r="C13" i="1"/>
  <c r="C21" i="1"/>
  <c r="C29" i="1"/>
  <c r="C37" i="1"/>
  <c r="C45" i="1"/>
  <c r="C53" i="1"/>
  <c r="C6" i="1"/>
  <c r="C54" i="1"/>
  <c r="C7" i="1"/>
  <c r="C15" i="1"/>
  <c r="C23" i="1"/>
  <c r="C31" i="1"/>
  <c r="C39" i="1"/>
  <c r="C47" i="1"/>
  <c r="C22" i="1"/>
  <c r="C8" i="1"/>
  <c r="C16" i="1"/>
  <c r="C24" i="1"/>
  <c r="C32" i="1"/>
  <c r="C40" i="1"/>
  <c r="C48" i="1"/>
  <c r="C3" i="1"/>
  <c r="Q32" i="1" l="1"/>
  <c r="Q54" i="1"/>
  <c r="Q36" i="1"/>
  <c r="Q35" i="1"/>
  <c r="Q49" i="1"/>
  <c r="Q24" i="1"/>
  <c r="Q23" i="1"/>
  <c r="Q29" i="1"/>
  <c r="Q28" i="1"/>
  <c r="Q27" i="1"/>
  <c r="Q18" i="1"/>
  <c r="Q9" i="1"/>
  <c r="Q22" i="1"/>
  <c r="Q37" i="1"/>
  <c r="Q4" i="1"/>
  <c r="Q26" i="1"/>
  <c r="Q55" i="1"/>
  <c r="Q6" i="1"/>
  <c r="Q14" i="1"/>
  <c r="Q30" i="1"/>
  <c r="Q50" i="1"/>
  <c r="Q41" i="1"/>
  <c r="Q48" i="1"/>
  <c r="Q16" i="1"/>
  <c r="Q47" i="1"/>
  <c r="Q15" i="1"/>
  <c r="Q53" i="1"/>
  <c r="Q21" i="1"/>
  <c r="Q52" i="1"/>
  <c r="Q20" i="1"/>
  <c r="Q51" i="1"/>
  <c r="Q19" i="1"/>
  <c r="Q42" i="1"/>
  <c r="Q10" i="1"/>
  <c r="Q33" i="1"/>
  <c r="Q31" i="1"/>
  <c r="Q5" i="1"/>
  <c r="Q46" i="1"/>
  <c r="Q17" i="1"/>
  <c r="Q40" i="1"/>
  <c r="Q8" i="1"/>
  <c r="Q39" i="1"/>
  <c r="Q7" i="1"/>
  <c r="Q45" i="1"/>
  <c r="Q13" i="1"/>
  <c r="Q44" i="1"/>
  <c r="Q12" i="1"/>
  <c r="Q43" i="1"/>
  <c r="Q11" i="1"/>
  <c r="Q34" i="1"/>
  <c r="Q38" i="1"/>
  <c r="Q25" i="1"/>
</calcChain>
</file>

<file path=xl/sharedStrings.xml><?xml version="1.0" encoding="utf-8"?>
<sst xmlns="http://schemas.openxmlformats.org/spreadsheetml/2006/main" count="5" uniqueCount="2">
  <si>
    <t>Week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</si>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</sst>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07C6-38B1-44A1-8804-956CD0CF3DF9}">
  <dimension ref="A1:V55"/>
  <sheetViews>
    <sheetView tabSelected="1" workbookViewId="0">
      <selection activeCell="Q2" sqref="Q2:V5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</row>
    <row r="2" spans="1:22" x14ac:dyDescent="0.25">
      <c r="A2">
        <v>0</v>
      </c>
      <c r="B2">
        <f>AVERAGE(B3,B54)</f>
        <v>1.0910062045151472</v>
      </c>
      <c r="D2">
        <f>$B2/AVERAGE($B$2:$B$54)</f>
        <v>1.0891360509642252</v>
      </c>
      <c r="E2">
        <f t="shared" ref="E2:H21" si="0">$B2/AVERAGE($B$2:$B$54)</f>
        <v>1.0891360509642252</v>
      </c>
      <c r="F2">
        <f t="shared" si="0"/>
        <v>1.0891360509642252</v>
      </c>
      <c r="K2">
        <v>3</v>
      </c>
      <c r="L2">
        <v>2</v>
      </c>
      <c r="M2">
        <v>1</v>
      </c>
      <c r="R2">
        <f t="shared" ref="R2" si="1">D2/(SUMPRODUCT(D$2:D$55,K$2:K$55)/SUM(K$2:K$56))</f>
        <v>1.0906941511916006</v>
      </c>
      <c r="S2">
        <f t="shared" ref="S2" si="2">E2/(SUMPRODUCT(E$2:E$55,L$2:L$55)/SUM(L$2:L$56))</f>
        <v>1.0907141999722605</v>
      </c>
      <c r="T2">
        <f t="shared" ref="T2" si="3">F2/(SUMPRODUCT(F$2:F$55,M$2:M$55)/SUM(M$2:M$56))</f>
        <v>1.0907342494899941</v>
      </c>
    </row>
    <row r="3" spans="1:22" x14ac:dyDescent="0.25">
      <c r="A3">
        <v>1</v>
      </c>
      <c r="B3" s="1">
        <v>1.0977173105074314</v>
      </c>
      <c r="C3">
        <f>B3/AVERAGE($B$3:$B$55)</f>
        <v>1.0958356530817834</v>
      </c>
      <c r="D3">
        <f t="shared" ref="D3:H22" si="4">$B3/AVERAGE($B$2:$B$54)</f>
        <v>1.0958356530817834</v>
      </c>
      <c r="E3">
        <f t="shared" si="0"/>
        <v>1.0958356530817834</v>
      </c>
      <c r="F3">
        <f t="shared" si="0"/>
        <v>1.0958356530817834</v>
      </c>
      <c r="G3">
        <f t="shared" si="0"/>
        <v>1.0958356530817834</v>
      </c>
      <c r="H3">
        <f t="shared" si="0"/>
        <v>1.0958356530817834</v>
      </c>
      <c r="J3">
        <v>5</v>
      </c>
      <c r="K3">
        <v>7</v>
      </c>
      <c r="L3">
        <v>7</v>
      </c>
      <c r="M3">
        <v>7</v>
      </c>
      <c r="N3">
        <v>7</v>
      </c>
      <c r="O3">
        <v>5</v>
      </c>
      <c r="Q3">
        <f t="shared" ref="Q2:Q55" si="5">C3/(SUMPRODUCT(C$2:C$55,J$2:J$55)/SUM(J$2:J$56))</f>
        <v>1.0972119029366196</v>
      </c>
      <c r="R3">
        <f>D3/(SUMPRODUCT(D$2:D$55,K$2:K$55)/SUM(K$2:K$56))</f>
        <v>1.0974033376504111</v>
      </c>
      <c r="S3">
        <f>E3/(SUMPRODUCT(E$2:E$55,L$2:L$55)/SUM(L$2:L$56))</f>
        <v>1.097423509757127</v>
      </c>
      <c r="T3">
        <f>F3/(SUMPRODUCT(F$2:F$55,M$2:M$55)/SUM(M$2:M$56))</f>
        <v>1.0974436826054503</v>
      </c>
      <c r="U3">
        <f t="shared" ref="U3:U55" si="6">G3/(SUMPRODUCT(G$2:G$55,N$2:N$55)/SUM(N$2:N$56))</f>
        <v>1.0971716852026674</v>
      </c>
      <c r="V3">
        <f t="shared" ref="V2:V55" si="7">H3/(SUMPRODUCT(H$2:H$55,O$2:O$55)/SUM(O$2:O$56))</f>
        <v>1.0974840305270837</v>
      </c>
    </row>
    <row r="4" spans="1:22" x14ac:dyDescent="0.25">
      <c r="A4">
        <v>2</v>
      </c>
      <c r="B4" s="1">
        <v>1.1106575811111146</v>
      </c>
      <c r="C4">
        <f t="shared" ref="C4:C55" si="8">B4/AVERAGE($B$3:$B$55)</f>
        <v>1.1087537420581584</v>
      </c>
      <c r="D4">
        <f t="shared" si="4"/>
        <v>1.1087537420581584</v>
      </c>
      <c r="E4">
        <f t="shared" si="0"/>
        <v>1.1087537420581584</v>
      </c>
      <c r="F4">
        <f t="shared" si="0"/>
        <v>1.1087537420581584</v>
      </c>
      <c r="G4">
        <f t="shared" si="0"/>
        <v>1.1087537420581584</v>
      </c>
      <c r="H4">
        <f t="shared" si="0"/>
        <v>1.1087537420581584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Q4">
        <f t="shared" si="5"/>
        <v>1.1101462156213842</v>
      </c>
      <c r="R4">
        <f>D4/(SUMPRODUCT(D$2:D$55,K$2:K$55)/SUM(K$2:K$56))</f>
        <v>1.1103399070336679</v>
      </c>
      <c r="S4">
        <f>E4/(SUMPRODUCT(E$2:E$55,L$2:L$55)/SUM(L$2:L$56))</f>
        <v>1.1103603169361411</v>
      </c>
      <c r="T4">
        <f>F4/(SUMPRODUCT(F$2:F$55,M$2:M$55)/SUM(M$2:M$56))</f>
        <v>1.1103807275889646</v>
      </c>
      <c r="U4">
        <f t="shared" si="6"/>
        <v>1.1101055237869002</v>
      </c>
      <c r="V4">
        <f t="shared" si="7"/>
        <v>1.1104215511458269</v>
      </c>
    </row>
    <row r="5" spans="1:22" x14ac:dyDescent="0.25">
      <c r="A5">
        <v>3</v>
      </c>
      <c r="B5" s="1">
        <v>1.1220606981853878</v>
      </c>
      <c r="C5">
        <f t="shared" si="8"/>
        <v>1.1201373124242646</v>
      </c>
      <c r="D5">
        <f t="shared" si="4"/>
        <v>1.1201373124242646</v>
      </c>
      <c r="E5">
        <f t="shared" si="0"/>
        <v>1.1201373124242646</v>
      </c>
      <c r="F5">
        <f t="shared" si="0"/>
        <v>1.1201373124242646</v>
      </c>
      <c r="G5">
        <f t="shared" si="0"/>
        <v>1.1201373124242646</v>
      </c>
      <c r="H5">
        <f t="shared" si="0"/>
        <v>1.1201373124242646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Q5">
        <f t="shared" si="5"/>
        <v>1.1215440825081593</v>
      </c>
      <c r="R5">
        <f>D5/(SUMPRODUCT(D$2:D$55,K$2:K$55)/SUM(K$2:K$56))</f>
        <v>1.121739762549421</v>
      </c>
      <c r="S5">
        <f>E5/(SUMPRODUCT(E$2:E$55,L$2:L$55)/SUM(L$2:L$56))</f>
        <v>1.1217603820002839</v>
      </c>
      <c r="T5">
        <f>F5/(SUMPRODUCT(F$2:F$55,M$2:M$55)/SUM(M$2:M$56))</f>
        <v>1.1217810022092005</v>
      </c>
      <c r="U5">
        <f t="shared" si="6"/>
        <v>1.1215029728907686</v>
      </c>
      <c r="V5">
        <f t="shared" si="7"/>
        <v>1.1218222449013626</v>
      </c>
    </row>
    <row r="6" spans="1:22" x14ac:dyDescent="0.25">
      <c r="A6">
        <v>4</v>
      </c>
      <c r="B6" s="1">
        <v>1.1312866347186938</v>
      </c>
      <c r="C6">
        <f t="shared" si="8"/>
        <v>1.1293474342739356</v>
      </c>
      <c r="D6">
        <f t="shared" si="4"/>
        <v>1.1293474342739356</v>
      </c>
      <c r="E6">
        <f t="shared" si="0"/>
        <v>1.1293474342739356</v>
      </c>
      <c r="F6">
        <f t="shared" si="0"/>
        <v>1.1293474342739356</v>
      </c>
      <c r="G6">
        <f t="shared" si="0"/>
        <v>1.1293474342739356</v>
      </c>
      <c r="H6">
        <f t="shared" si="0"/>
        <v>1.1293474342739356</v>
      </c>
      <c r="J6">
        <v>7</v>
      </c>
      <c r="K6">
        <v>7</v>
      </c>
      <c r="L6">
        <v>7</v>
      </c>
      <c r="M6">
        <v>7</v>
      </c>
      <c r="N6">
        <v>7</v>
      </c>
      <c r="O6">
        <v>7</v>
      </c>
      <c r="Q6">
        <f t="shared" si="5"/>
        <v>1.1307657712646222</v>
      </c>
      <c r="R6">
        <f>D6/(SUMPRODUCT(D$2:D$55,K$2:K$55)/SUM(K$2:K$56))</f>
        <v>1.1309630602488265</v>
      </c>
      <c r="S6">
        <f>E6/(SUMPRODUCT(E$2:E$55,L$2:L$55)/SUM(L$2:L$56))</f>
        <v>1.1309838492393101</v>
      </c>
      <c r="T6">
        <f>F6/(SUMPRODUCT(F$2:F$55,M$2:M$55)/SUM(M$2:M$56))</f>
        <v>1.1310046389940802</v>
      </c>
      <c r="U6">
        <f t="shared" si="6"/>
        <v>1.1307243236310072</v>
      </c>
      <c r="V6">
        <f t="shared" si="7"/>
        <v>1.1310462207966496</v>
      </c>
    </row>
    <row r="7" spans="1:22" x14ac:dyDescent="0.25">
      <c r="A7">
        <v>5</v>
      </c>
      <c r="B7" s="1">
        <v>1.1378242789227095</v>
      </c>
      <c r="C7">
        <f t="shared" si="8"/>
        <v>1.1358738719435868</v>
      </c>
      <c r="D7">
        <f t="shared" si="4"/>
        <v>1.1358738719435868</v>
      </c>
      <c r="E7">
        <f t="shared" si="0"/>
        <v>1.1358738719435868</v>
      </c>
      <c r="F7">
        <f t="shared" si="0"/>
        <v>1.1358738719435868</v>
      </c>
      <c r="G7">
        <f t="shared" si="0"/>
        <v>1.1358738719435868</v>
      </c>
      <c r="H7">
        <f t="shared" si="0"/>
        <v>1.1358738719435868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  <c r="Q7">
        <f t="shared" si="5"/>
        <v>1.1373004054269411</v>
      </c>
      <c r="R7">
        <f>D7/(SUMPRODUCT(D$2:D$55,K$2:K$55)/SUM(K$2:K$56))</f>
        <v>1.1374988345335022</v>
      </c>
      <c r="S7">
        <f>E7/(SUMPRODUCT(E$2:E$55,L$2:L$55)/SUM(L$2:L$56))</f>
        <v>1.137519743662436</v>
      </c>
      <c r="T7">
        <f>F7/(SUMPRODUCT(F$2:F$55,M$2:M$55)/SUM(M$2:M$56))</f>
        <v>1.1375406535600732</v>
      </c>
      <c r="U7">
        <f t="shared" si="6"/>
        <v>1.1372587182696956</v>
      </c>
      <c r="V7">
        <f t="shared" si="7"/>
        <v>1.137582475661628</v>
      </c>
    </row>
    <row r="8" spans="1:22" x14ac:dyDescent="0.25">
      <c r="A8">
        <v>6</v>
      </c>
      <c r="B8" s="1">
        <v>1.1413093384386288</v>
      </c>
      <c r="C8">
        <f t="shared" si="8"/>
        <v>1.1393529575279171</v>
      </c>
      <c r="D8">
        <f t="shared" si="4"/>
        <v>1.1393529575279171</v>
      </c>
      <c r="E8">
        <f t="shared" si="0"/>
        <v>1.1393529575279171</v>
      </c>
      <c r="F8">
        <f t="shared" si="0"/>
        <v>1.1393529575279171</v>
      </c>
      <c r="G8">
        <f t="shared" si="0"/>
        <v>1.1393529575279171</v>
      </c>
      <c r="H8">
        <f t="shared" si="0"/>
        <v>1.1393529575279171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Q8">
        <f t="shared" si="5"/>
        <v>1.1407838603626581</v>
      </c>
      <c r="R8">
        <f>D8/(SUMPRODUCT(D$2:D$55,K$2:K$55)/SUM(K$2:K$56))</f>
        <v>1.1409828972407872</v>
      </c>
      <c r="S8">
        <f>E8/(SUMPRODUCT(E$2:E$55,L$2:L$55)/SUM(L$2:L$56))</f>
        <v>1.1410038704126142</v>
      </c>
      <c r="T8">
        <f>F8/(SUMPRODUCT(F$2:F$55,M$2:M$55)/SUM(M$2:M$56))</f>
        <v>1.1410248443554989</v>
      </c>
      <c r="U8">
        <f t="shared" si="6"/>
        <v>1.1407420455211765</v>
      </c>
      <c r="V8">
        <f t="shared" si="7"/>
        <v>1.1410667945546131</v>
      </c>
    </row>
    <row r="9" spans="1:22" x14ac:dyDescent="0.25">
      <c r="A9">
        <v>7</v>
      </c>
      <c r="B9" s="1">
        <v>1.1413068125780104</v>
      </c>
      <c r="C9">
        <f t="shared" si="8"/>
        <v>1.1393504359970148</v>
      </c>
      <c r="D9">
        <f t="shared" si="4"/>
        <v>1.1393504359970148</v>
      </c>
      <c r="E9">
        <f t="shared" si="0"/>
        <v>1.1393504359970148</v>
      </c>
      <c r="F9">
        <f t="shared" si="0"/>
        <v>1.1393504359970148</v>
      </c>
      <c r="G9">
        <f t="shared" si="0"/>
        <v>1.1393504359970148</v>
      </c>
      <c r="H9">
        <f t="shared" si="0"/>
        <v>1.1393504359970148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Q9">
        <f t="shared" si="5"/>
        <v>1.1407813356649885</v>
      </c>
      <c r="R9">
        <f>D9/(SUMPRODUCT(D$2:D$55,K$2:K$55)/SUM(K$2:K$56))</f>
        <v>1.1409803721026239</v>
      </c>
      <c r="S9">
        <f>E9/(SUMPRODUCT(E$2:E$55,L$2:L$55)/SUM(L$2:L$56))</f>
        <v>1.1410013452280348</v>
      </c>
      <c r="T9">
        <f>F9/(SUMPRODUCT(F$2:F$55,M$2:M$55)/SUM(M$2:M$56))</f>
        <v>1.1410223191245015</v>
      </c>
      <c r="U9">
        <f t="shared" si="6"/>
        <v>1.1407395209160482</v>
      </c>
      <c r="V9">
        <f t="shared" si="7"/>
        <v>1.1410642692307746</v>
      </c>
    </row>
    <row r="10" spans="1:22" x14ac:dyDescent="0.25">
      <c r="A10">
        <v>8</v>
      </c>
      <c r="B10" s="1">
        <v>1.1370597347550138</v>
      </c>
      <c r="C10">
        <f t="shared" si="8"/>
        <v>1.1351106383229659</v>
      </c>
      <c r="D10">
        <f t="shared" si="4"/>
        <v>1.1351106383229659</v>
      </c>
      <c r="E10">
        <f t="shared" si="0"/>
        <v>1.1351106383229659</v>
      </c>
      <c r="F10">
        <f t="shared" si="0"/>
        <v>1.1351106383229659</v>
      </c>
      <c r="G10">
        <f t="shared" si="0"/>
        <v>1.1351106383229659</v>
      </c>
      <c r="H10">
        <f t="shared" si="0"/>
        <v>1.1351106383229659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Q10">
        <f t="shared" si="5"/>
        <v>1.1365362132682797</v>
      </c>
      <c r="R10">
        <f>D10/(SUMPRODUCT(D$2:D$55,K$2:K$55)/SUM(K$2:K$56))</f>
        <v>1.1367345090433423</v>
      </c>
      <c r="S10">
        <f>E10/(SUMPRODUCT(E$2:E$55,L$2:L$55)/SUM(L$2:L$56))</f>
        <v>1.1367554041226966</v>
      </c>
      <c r="T10">
        <f>F10/(SUMPRODUCT(F$2:F$55,M$2:M$55)/SUM(M$2:M$56))</f>
        <v>1.136776299970238</v>
      </c>
      <c r="U10">
        <f t="shared" si="6"/>
        <v>1.1364945541221021</v>
      </c>
      <c r="V10">
        <f t="shared" si="7"/>
        <v>1.1368180939700512</v>
      </c>
    </row>
    <row r="11" spans="1:22" x14ac:dyDescent="0.25">
      <c r="A11">
        <v>9</v>
      </c>
      <c r="B11" s="1">
        <v>1.1278367862812706</v>
      </c>
      <c r="C11">
        <f t="shared" si="8"/>
        <v>1.1259034994108612</v>
      </c>
      <c r="D11">
        <f t="shared" si="4"/>
        <v>1.1259034994108612</v>
      </c>
      <c r="E11">
        <f t="shared" si="0"/>
        <v>1.1259034994108612</v>
      </c>
      <c r="F11">
        <f t="shared" si="0"/>
        <v>1.1259034994108612</v>
      </c>
      <c r="G11">
        <f t="shared" si="0"/>
        <v>1.1259034994108612</v>
      </c>
      <c r="H11">
        <f t="shared" si="0"/>
        <v>1.1259034994108612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Q11">
        <f t="shared" si="5"/>
        <v>1.1273175111956266</v>
      </c>
      <c r="R11">
        <f>D11/(SUMPRODUCT(D$2:D$55,K$2:K$55)/SUM(K$2:K$56))</f>
        <v>1.1275141985488446</v>
      </c>
      <c r="S11">
        <f>E11/(SUMPRODUCT(E$2:E$55,L$2:L$55)/SUM(L$2:L$56))</f>
        <v>1.1275349241434882</v>
      </c>
      <c r="T11">
        <f>F11/(SUMPRODUCT(F$2:F$55,M$2:M$55)/SUM(M$2:M$56))</f>
        <v>1.1275556505000879</v>
      </c>
      <c r="U11">
        <f t="shared" si="6"/>
        <v>1.1272761899561983</v>
      </c>
      <c r="V11">
        <f t="shared" si="7"/>
        <v>1.1275971054993237</v>
      </c>
    </row>
    <row r="12" spans="1:22" x14ac:dyDescent="0.25">
      <c r="A12">
        <v>10</v>
      </c>
      <c r="B12" s="1">
        <v>1.1136336402520652</v>
      </c>
      <c r="C12">
        <f t="shared" si="8"/>
        <v>1.1117246997729695</v>
      </c>
      <c r="D12">
        <f t="shared" si="4"/>
        <v>1.1117246997729695</v>
      </c>
      <c r="E12">
        <f t="shared" si="0"/>
        <v>1.1117246997729695</v>
      </c>
      <c r="F12">
        <f t="shared" si="0"/>
        <v>1.1117246997729695</v>
      </c>
      <c r="G12">
        <f t="shared" si="0"/>
        <v>1.1117246997729695</v>
      </c>
      <c r="H12">
        <f t="shared" si="0"/>
        <v>1.1117246997729695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Q12">
        <f t="shared" si="5"/>
        <v>1.1131209045344934</v>
      </c>
      <c r="R12">
        <f>D12/(SUMPRODUCT(D$2:D$55,K$2:K$55)/SUM(K$2:K$56))</f>
        <v>1.1133151149520113</v>
      </c>
      <c r="S12">
        <f>E12/(SUMPRODUCT(E$2:E$55,L$2:L$55)/SUM(L$2:L$56))</f>
        <v>1.1133355795437767</v>
      </c>
      <c r="T12">
        <f>F12/(SUMPRODUCT(F$2:F$55,M$2:M$55)/SUM(M$2:M$56))</f>
        <v>1.1133560448879027</v>
      </c>
      <c r="U12">
        <f t="shared" si="6"/>
        <v>1.1130801036643283</v>
      </c>
      <c r="V12">
        <f t="shared" si="7"/>
        <v>1.1133969778334025</v>
      </c>
    </row>
    <row r="13" spans="1:22" x14ac:dyDescent="0.25">
      <c r="A13">
        <v>11</v>
      </c>
      <c r="B13" s="1">
        <v>1.0951145958932049</v>
      </c>
      <c r="C13">
        <f t="shared" si="8"/>
        <v>1.0932373999233742</v>
      </c>
      <c r="D13">
        <f t="shared" si="4"/>
        <v>1.0932373999233742</v>
      </c>
      <c r="E13">
        <f t="shared" si="0"/>
        <v>1.0932373999233742</v>
      </c>
      <c r="F13">
        <f t="shared" si="0"/>
        <v>1.0932373999233742</v>
      </c>
      <c r="G13">
        <f t="shared" si="0"/>
        <v>1.0932373999233742</v>
      </c>
      <c r="H13">
        <f t="shared" si="0"/>
        <v>1.0932373999233742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Q13">
        <f t="shared" si="5"/>
        <v>1.0946103866561154</v>
      </c>
      <c r="R13">
        <f>D13/(SUMPRODUCT(D$2:D$55,K$2:K$55)/SUM(K$2:K$56))</f>
        <v>1.0948013674735144</v>
      </c>
      <c r="S13">
        <f>E13/(SUMPRODUCT(E$2:E$55,L$2:L$55)/SUM(L$2:L$56))</f>
        <v>1.0948214917516714</v>
      </c>
      <c r="T13">
        <f>F13/(SUMPRODUCT(F$2:F$55,M$2:M$55)/SUM(M$2:M$56))</f>
        <v>1.0948416167696775</v>
      </c>
      <c r="U13">
        <f t="shared" si="6"/>
        <v>1.0945702642793949</v>
      </c>
      <c r="V13">
        <f t="shared" si="7"/>
        <v>1.094881869025401</v>
      </c>
    </row>
    <row r="14" spans="1:22" x14ac:dyDescent="0.25">
      <c r="A14">
        <v>12</v>
      </c>
      <c r="B14" s="1">
        <v>1.0737713398865159</v>
      </c>
      <c r="C14">
        <f t="shared" si="8"/>
        <v>1.0719307295619764</v>
      </c>
      <c r="D14">
        <f t="shared" si="4"/>
        <v>1.0719307295619764</v>
      </c>
      <c r="E14">
        <f t="shared" si="0"/>
        <v>1.0719307295619764</v>
      </c>
      <c r="F14">
        <f t="shared" si="0"/>
        <v>1.0719307295619764</v>
      </c>
      <c r="G14">
        <f t="shared" si="0"/>
        <v>1.0719307295619764</v>
      </c>
      <c r="H14">
        <f t="shared" si="0"/>
        <v>1.0719307295619764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Q14">
        <f t="shared" si="5"/>
        <v>1.0732769574446022</v>
      </c>
      <c r="R14">
        <f>D14/(SUMPRODUCT(D$2:D$55,K$2:K$55)/SUM(K$2:K$56))</f>
        <v>1.0734642161378569</v>
      </c>
      <c r="S14">
        <f>E14/(SUMPRODUCT(E$2:E$55,L$2:L$55)/SUM(L$2:L$56))</f>
        <v>1.0734839482035257</v>
      </c>
      <c r="T14">
        <f>F14/(SUMPRODUCT(F$2:F$55,M$2:M$55)/SUM(M$2:M$56))</f>
        <v>1.0735036809946241</v>
      </c>
      <c r="U14">
        <f t="shared" si="6"/>
        <v>1.0732376170336788</v>
      </c>
      <c r="V14">
        <f t="shared" si="7"/>
        <v>1.0735431487532712</v>
      </c>
    </row>
    <row r="15" spans="1:22" x14ac:dyDescent="0.25">
      <c r="A15">
        <v>13</v>
      </c>
      <c r="B15" s="1">
        <v>1.0512729588611693</v>
      </c>
      <c r="C15">
        <f t="shared" si="8"/>
        <v>1.0494709142450471</v>
      </c>
      <c r="D15">
        <f t="shared" si="4"/>
        <v>1.0494709142450471</v>
      </c>
      <c r="E15">
        <f t="shared" si="0"/>
        <v>1.0494709142450471</v>
      </c>
      <c r="F15">
        <f t="shared" si="0"/>
        <v>1.0494709142450471</v>
      </c>
      <c r="G15">
        <f t="shared" si="0"/>
        <v>1.0494709142450471</v>
      </c>
      <c r="H15">
        <f t="shared" si="0"/>
        <v>1.0494709142450471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Q15">
        <f t="shared" si="5"/>
        <v>1.0507889350534803</v>
      </c>
      <c r="R15">
        <f>D15/(SUMPRODUCT(D$2:D$55,K$2:K$55)/SUM(K$2:K$56))</f>
        <v>1.0509722701763482</v>
      </c>
      <c r="S15">
        <f>E15/(SUMPRODUCT(E$2:E$55,L$2:L$55)/SUM(L$2:L$56))</f>
        <v>1.0509915888024741</v>
      </c>
      <c r="T15">
        <f>F15/(SUMPRODUCT(F$2:F$55,M$2:M$55)/SUM(M$2:M$56))</f>
        <v>1.0510109081388301</v>
      </c>
      <c r="U15">
        <f t="shared" si="6"/>
        <v>1.0507504189293688</v>
      </c>
      <c r="V15">
        <f t="shared" si="7"/>
        <v>1.0510495489423899</v>
      </c>
    </row>
    <row r="16" spans="1:22" x14ac:dyDescent="0.25">
      <c r="A16">
        <v>14</v>
      </c>
      <c r="B16" s="1">
        <v>1.0290767826531984</v>
      </c>
      <c r="C16">
        <f t="shared" si="8"/>
        <v>1.0273127857196469</v>
      </c>
      <c r="D16">
        <f t="shared" si="4"/>
        <v>1.0273127857196469</v>
      </c>
      <c r="E16">
        <f t="shared" si="0"/>
        <v>1.0273127857196469</v>
      </c>
      <c r="F16">
        <f t="shared" si="0"/>
        <v>1.0273127857196469</v>
      </c>
      <c r="G16">
        <f t="shared" si="0"/>
        <v>1.0273127857196469</v>
      </c>
      <c r="H16">
        <f t="shared" si="0"/>
        <v>1.0273127857196469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Q16">
        <f t="shared" si="5"/>
        <v>1.0286029783395365</v>
      </c>
      <c r="R16">
        <f>D16/(SUMPRODUCT(D$2:D$55,K$2:K$55)/SUM(K$2:K$56))</f>
        <v>1.0287824425945602</v>
      </c>
      <c r="S16">
        <f>E16/(SUMPRODUCT(E$2:E$55,L$2:L$55)/SUM(L$2:L$56))</f>
        <v>1.0288013533345837</v>
      </c>
      <c r="T16">
        <f>F16/(SUMPRODUCT(F$2:F$55,M$2:M$55)/SUM(M$2:M$56))</f>
        <v>1.0288202647698419</v>
      </c>
      <c r="U16">
        <f t="shared" si="6"/>
        <v>1.0285652754301764</v>
      </c>
      <c r="V16">
        <f t="shared" si="7"/>
        <v>1.0288580897262163</v>
      </c>
    </row>
    <row r="17" spans="1:22" x14ac:dyDescent="0.25">
      <c r="A17">
        <v>15</v>
      </c>
      <c r="B17" s="1">
        <v>1.0085957978830056</v>
      </c>
      <c r="C17">
        <f t="shared" si="8"/>
        <v>1.0068669085283442</v>
      </c>
      <c r="D17">
        <f t="shared" si="4"/>
        <v>1.0068669085283442</v>
      </c>
      <c r="E17">
        <f t="shared" si="0"/>
        <v>1.0068669085283442</v>
      </c>
      <c r="F17">
        <f t="shared" si="0"/>
        <v>1.0068669085283442</v>
      </c>
      <c r="G17">
        <f t="shared" si="0"/>
        <v>1.0068669085283442</v>
      </c>
      <c r="H17">
        <f t="shared" si="0"/>
        <v>1.0068669085283442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Q17">
        <f t="shared" si="5"/>
        <v>1.008131423360294</v>
      </c>
      <c r="R17">
        <f>D17/(SUMPRODUCT(D$2:D$55,K$2:K$55)/SUM(K$2:K$56))</f>
        <v>1.008307315865633</v>
      </c>
      <c r="S17">
        <f>E17/(SUMPRODUCT(E$2:E$55,L$2:L$55)/SUM(L$2:L$56))</f>
        <v>1.0083258502386208</v>
      </c>
      <c r="T17">
        <f>F17/(SUMPRODUCT(F$2:F$55,M$2:M$55)/SUM(M$2:M$56))</f>
        <v>1.0083443852930063</v>
      </c>
      <c r="U17">
        <f t="shared" si="6"/>
        <v>1.0080944708251776</v>
      </c>
      <c r="V17">
        <f t="shared" si="7"/>
        <v>1.0083814574461218</v>
      </c>
    </row>
    <row r="18" spans="1:22" x14ac:dyDescent="0.25">
      <c r="A18">
        <v>16</v>
      </c>
      <c r="B18" s="1">
        <v>0.99083374821866577</v>
      </c>
      <c r="C18">
        <f t="shared" si="8"/>
        <v>0.98913530576716024</v>
      </c>
      <c r="D18">
        <f t="shared" si="4"/>
        <v>0.98913530576716024</v>
      </c>
      <c r="E18">
        <f t="shared" si="0"/>
        <v>0.98913530576716024</v>
      </c>
      <c r="F18">
        <f t="shared" si="0"/>
        <v>0.98913530576716024</v>
      </c>
      <c r="G18">
        <f t="shared" si="0"/>
        <v>0.98913530576716024</v>
      </c>
      <c r="H18">
        <f t="shared" si="0"/>
        <v>0.98913530576716024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Q18">
        <f t="shared" si="5"/>
        <v>0.99037755164330699</v>
      </c>
      <c r="R18">
        <f>D18/(SUMPRODUCT(D$2:D$55,K$2:K$55)/SUM(K$2:K$56))</f>
        <v>0.99055034656344687</v>
      </c>
      <c r="S18">
        <f>E18/(SUMPRODUCT(E$2:E$55,L$2:L$55)/SUM(L$2:L$56))</f>
        <v>0.99056855453367321</v>
      </c>
      <c r="T18">
        <f>F18/(SUMPRODUCT(F$2:F$55,M$2:M$55)/SUM(M$2:M$56))</f>
        <v>0.99058676317329752</v>
      </c>
      <c r="U18">
        <f t="shared" si="6"/>
        <v>0.99034124986716177</v>
      </c>
      <c r="V18">
        <f t="shared" si="7"/>
        <v>0.99062318246088832</v>
      </c>
    </row>
    <row r="19" spans="1:22" x14ac:dyDescent="0.25">
      <c r="A19">
        <v>17</v>
      </c>
      <c r="B19" s="1">
        <v>0.97599339150366149</v>
      </c>
      <c r="C19">
        <f t="shared" si="8"/>
        <v>0.97432038772124197</v>
      </c>
      <c r="D19">
        <f t="shared" si="4"/>
        <v>0.97432038772124197</v>
      </c>
      <c r="E19">
        <f t="shared" si="0"/>
        <v>0.97432038772124197</v>
      </c>
      <c r="F19">
        <f t="shared" si="0"/>
        <v>0.97432038772124197</v>
      </c>
      <c r="G19">
        <f t="shared" si="0"/>
        <v>0.97432038772124197</v>
      </c>
      <c r="H19">
        <f t="shared" si="0"/>
        <v>0.97432038772124197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Q19">
        <f t="shared" si="5"/>
        <v>0.97554402767892567</v>
      </c>
      <c r="R19">
        <f t="shared" ref="R19:R55" si="9">D19/(SUMPRODUCT(D$2:D$55,K$2:K$55)/SUM(K$2:K$56))</f>
        <v>0.97571423453799266</v>
      </c>
      <c r="S19">
        <f t="shared" ref="S19:S55" si="10">E19/(SUMPRODUCT(E$2:E$55,L$2:L$55)/SUM(L$2:L$56))</f>
        <v>0.9757321697956941</v>
      </c>
      <c r="T19">
        <f t="shared" ref="T19:T55" si="11">F19/(SUMPRODUCT(F$2:F$55,M$2:M$55)/SUM(M$2:M$56))</f>
        <v>0.97575010571276766</v>
      </c>
      <c r="U19">
        <f t="shared" si="6"/>
        <v>0.9755082696179177</v>
      </c>
      <c r="V19">
        <f t="shared" si="7"/>
        <v>0.97578597952517643</v>
      </c>
    </row>
    <row r="20" spans="1:22" x14ac:dyDescent="0.25">
      <c r="A20">
        <v>18</v>
      </c>
      <c r="B20" s="1">
        <v>0.96392153411607118</v>
      </c>
      <c r="C20">
        <f t="shared" si="8"/>
        <v>0.9622692233662542</v>
      </c>
      <c r="D20">
        <f t="shared" si="4"/>
        <v>0.9622692233662542</v>
      </c>
      <c r="E20">
        <f t="shared" si="0"/>
        <v>0.9622692233662542</v>
      </c>
      <c r="F20">
        <f t="shared" si="0"/>
        <v>0.9622692233662542</v>
      </c>
      <c r="G20">
        <f t="shared" si="0"/>
        <v>0.9622692233662542</v>
      </c>
      <c r="H20">
        <f t="shared" si="0"/>
        <v>0.9622692233662542</v>
      </c>
      <c r="J20">
        <v>7</v>
      </c>
      <c r="K20">
        <v>7</v>
      </c>
      <c r="L20">
        <v>7</v>
      </c>
      <c r="M20">
        <v>7</v>
      </c>
      <c r="N20">
        <v>7</v>
      </c>
      <c r="O20">
        <v>7</v>
      </c>
      <c r="Q20">
        <f t="shared" si="5"/>
        <v>0.96347772837815704</v>
      </c>
      <c r="R20">
        <f t="shared" si="9"/>
        <v>0.96364582998431259</v>
      </c>
      <c r="S20">
        <f t="shared" si="10"/>
        <v>0.96366354340457627</v>
      </c>
      <c r="T20">
        <f t="shared" si="11"/>
        <v>0.96368125747605649</v>
      </c>
      <c r="U20">
        <f t="shared" si="6"/>
        <v>0.96344241260109964</v>
      </c>
      <c r="V20">
        <f t="shared" si="7"/>
        <v>0.96371668757280993</v>
      </c>
    </row>
    <row r="21" spans="1:22" x14ac:dyDescent="0.25">
      <c r="A21">
        <v>19</v>
      </c>
      <c r="B21" s="1">
        <v>0.95420967760922726</v>
      </c>
      <c r="C21">
        <f t="shared" si="8"/>
        <v>0.95257401448511325</v>
      </c>
      <c r="D21">
        <f t="shared" si="4"/>
        <v>0.95257401448511325</v>
      </c>
      <c r="E21">
        <f t="shared" si="0"/>
        <v>0.95257401448511325</v>
      </c>
      <c r="F21">
        <f t="shared" si="0"/>
        <v>0.95257401448511325</v>
      </c>
      <c r="G21">
        <f t="shared" si="0"/>
        <v>0.95257401448511325</v>
      </c>
      <c r="H21">
        <f t="shared" si="0"/>
        <v>0.95257401448511325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Q21">
        <f t="shared" si="5"/>
        <v>0.95377034337391065</v>
      </c>
      <c r="R21">
        <f t="shared" si="9"/>
        <v>0.95393675129586075</v>
      </c>
      <c r="S21">
        <f t="shared" si="10"/>
        <v>0.95395428624703782</v>
      </c>
      <c r="T21">
        <f t="shared" si="11"/>
        <v>0.95397182184286999</v>
      </c>
      <c r="U21">
        <f t="shared" si="6"/>
        <v>0.95373538341602215</v>
      </c>
      <c r="V21">
        <f t="shared" si="7"/>
        <v>0.95400689496864244</v>
      </c>
    </row>
    <row r="22" spans="1:22" x14ac:dyDescent="0.25">
      <c r="A22">
        <v>20</v>
      </c>
      <c r="B22" s="1">
        <v>0.94626543086048132</v>
      </c>
      <c r="C22">
        <f t="shared" si="8"/>
        <v>0.94464338540527248</v>
      </c>
      <c r="D22">
        <f t="shared" si="4"/>
        <v>0.94464338540527248</v>
      </c>
      <c r="E22">
        <f t="shared" si="4"/>
        <v>0.94464338540527248</v>
      </c>
      <c r="F22">
        <f t="shared" si="4"/>
        <v>0.94464338540527248</v>
      </c>
      <c r="G22">
        <f t="shared" si="4"/>
        <v>0.94464338540527248</v>
      </c>
      <c r="H22">
        <f t="shared" si="4"/>
        <v>0.94464338540527248</v>
      </c>
      <c r="J22">
        <v>7</v>
      </c>
      <c r="K22">
        <v>7</v>
      </c>
      <c r="L22">
        <v>7</v>
      </c>
      <c r="M22">
        <v>7</v>
      </c>
      <c r="N22">
        <v>7</v>
      </c>
      <c r="O22">
        <v>7</v>
      </c>
      <c r="Q22">
        <f t="shared" si="5"/>
        <v>0.94582975429040583</v>
      </c>
      <c r="R22">
        <f t="shared" si="9"/>
        <v>0.94599477678772248</v>
      </c>
      <c r="S22">
        <f t="shared" si="10"/>
        <v>0.94601216575213976</v>
      </c>
      <c r="T22">
        <f t="shared" si="11"/>
        <v>0.94602955535584532</v>
      </c>
      <c r="U22">
        <f t="shared" si="6"/>
        <v>0.94579508539069701</v>
      </c>
      <c r="V22">
        <f t="shared" si="7"/>
        <v>0.94606433648126187</v>
      </c>
    </row>
    <row r="23" spans="1:22" x14ac:dyDescent="0.25">
      <c r="A23">
        <v>21</v>
      </c>
      <c r="B23" s="1">
        <v>0.93970255587512519</v>
      </c>
      <c r="C23">
        <f t="shared" si="8"/>
        <v>0.93809176020374641</v>
      </c>
      <c r="D23">
        <f t="shared" ref="D23:H54" si="12">$B23/AVERAGE($B$2:$B$54)</f>
        <v>0.93809176020374641</v>
      </c>
      <c r="E23">
        <f t="shared" si="12"/>
        <v>0.93809176020374641</v>
      </c>
      <c r="F23">
        <f t="shared" si="12"/>
        <v>0.93809176020374641</v>
      </c>
      <c r="G23">
        <f t="shared" si="12"/>
        <v>0.93809176020374641</v>
      </c>
      <c r="H23">
        <f t="shared" si="12"/>
        <v>0.93809176020374641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Q23">
        <f t="shared" si="5"/>
        <v>0.93926990096342389</v>
      </c>
      <c r="R23">
        <f t="shared" si="9"/>
        <v>0.93943377893830071</v>
      </c>
      <c r="S23">
        <f t="shared" si="10"/>
        <v>0.93945104730061646</v>
      </c>
      <c r="T23">
        <f t="shared" si="11"/>
        <v>0.9394683162977866</v>
      </c>
      <c r="U23">
        <f t="shared" si="6"/>
        <v>0.93923547251174078</v>
      </c>
      <c r="V23">
        <f t="shared" si="7"/>
        <v>0.93950285619682994</v>
      </c>
    </row>
    <row r="24" spans="1:22" x14ac:dyDescent="0.25">
      <c r="A24">
        <v>22</v>
      </c>
      <c r="B24" s="1">
        <v>0.93429894910726574</v>
      </c>
      <c r="C24">
        <f t="shared" si="8"/>
        <v>0.93269741605450718</v>
      </c>
      <c r="D24">
        <f t="shared" si="12"/>
        <v>0.93269741605450718</v>
      </c>
      <c r="E24">
        <f t="shared" si="12"/>
        <v>0.93269741605450718</v>
      </c>
      <c r="F24">
        <f t="shared" si="12"/>
        <v>0.93269741605450718</v>
      </c>
      <c r="G24">
        <f t="shared" si="12"/>
        <v>0.93269741605450718</v>
      </c>
      <c r="H24">
        <f t="shared" si="12"/>
        <v>0.93269741605450718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Q24">
        <f t="shared" si="5"/>
        <v>0.93386878210729185</v>
      </c>
      <c r="R24">
        <f t="shared" si="9"/>
        <v>0.9340317177285179</v>
      </c>
      <c r="S24">
        <f t="shared" si="10"/>
        <v>0.93404888679192377</v>
      </c>
      <c r="T24">
        <f t="shared" si="11"/>
        <v>0.93406605648653329</v>
      </c>
      <c r="U24">
        <f t="shared" si="6"/>
        <v>0.93383455163082274</v>
      </c>
      <c r="V24">
        <f t="shared" si="7"/>
        <v>0.93410039776950282</v>
      </c>
    </row>
    <row r="25" spans="1:22" x14ac:dyDescent="0.25">
      <c r="A25">
        <v>23</v>
      </c>
      <c r="B25" s="1">
        <v>0.93001890556116007</v>
      </c>
      <c r="C25">
        <f t="shared" si="8"/>
        <v>0.92842470916570263</v>
      </c>
      <c r="D25">
        <f t="shared" si="12"/>
        <v>0.92842470916570263</v>
      </c>
      <c r="E25">
        <f t="shared" si="12"/>
        <v>0.92842470916570263</v>
      </c>
      <c r="F25">
        <f t="shared" si="12"/>
        <v>0.92842470916570263</v>
      </c>
      <c r="G25">
        <f t="shared" si="12"/>
        <v>0.92842470916570263</v>
      </c>
      <c r="H25">
        <f t="shared" si="12"/>
        <v>0.92842470916570263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Q25">
        <f t="shared" si="5"/>
        <v>0.92959070916544917</v>
      </c>
      <c r="R25">
        <f t="shared" si="9"/>
        <v>0.929752898375096</v>
      </c>
      <c r="S25">
        <f t="shared" si="10"/>
        <v>0.92976998878665384</v>
      </c>
      <c r="T25">
        <f t="shared" si="11"/>
        <v>0.92978707982652364</v>
      </c>
      <c r="U25">
        <f t="shared" si="6"/>
        <v>0.92955663549952772</v>
      </c>
      <c r="V25">
        <f t="shared" si="7"/>
        <v>0.92982126379133856</v>
      </c>
    </row>
    <row r="26" spans="1:22" x14ac:dyDescent="0.25">
      <c r="A26">
        <v>24</v>
      </c>
      <c r="B26" s="1">
        <v>0.92712879357664302</v>
      </c>
      <c r="C26">
        <f t="shared" si="8"/>
        <v>0.92553955128059218</v>
      </c>
      <c r="D26">
        <f t="shared" si="12"/>
        <v>0.92553955128059218</v>
      </c>
      <c r="E26">
        <f t="shared" si="12"/>
        <v>0.92553955128059218</v>
      </c>
      <c r="F26">
        <f t="shared" si="12"/>
        <v>0.92553955128059218</v>
      </c>
      <c r="G26">
        <f t="shared" si="12"/>
        <v>0.92553955128059218</v>
      </c>
      <c r="H26">
        <f t="shared" si="12"/>
        <v>0.92553955128059218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Q26">
        <f t="shared" si="5"/>
        <v>0.9267019278372528</v>
      </c>
      <c r="R26">
        <f t="shared" si="9"/>
        <v>0.92686361303028686</v>
      </c>
      <c r="S26">
        <f t="shared" si="10"/>
        <v>0.92688065033195299</v>
      </c>
      <c r="T26">
        <f t="shared" si="11"/>
        <v>0.92689768825997865</v>
      </c>
      <c r="U26">
        <f t="shared" si="6"/>
        <v>0.92666796005811447</v>
      </c>
      <c r="V26">
        <f t="shared" si="7"/>
        <v>0.92693176599524729</v>
      </c>
    </row>
    <row r="27" spans="1:22" x14ac:dyDescent="0.25">
      <c r="A27">
        <v>25</v>
      </c>
      <c r="B27" s="1">
        <v>0.92559718709332062</v>
      </c>
      <c r="C27">
        <f t="shared" si="8"/>
        <v>0.92401057020791499</v>
      </c>
      <c r="D27">
        <f t="shared" si="12"/>
        <v>0.92401057020791499</v>
      </c>
      <c r="E27">
        <f t="shared" si="12"/>
        <v>0.92401057020791499</v>
      </c>
      <c r="F27">
        <f t="shared" si="12"/>
        <v>0.92401057020791499</v>
      </c>
      <c r="G27">
        <f t="shared" si="12"/>
        <v>0.92401057020791499</v>
      </c>
      <c r="H27">
        <f t="shared" si="12"/>
        <v>0.92401057020791499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Q27">
        <f t="shared" si="5"/>
        <v>0.92517102653139693</v>
      </c>
      <c r="R27">
        <f t="shared" si="9"/>
        <v>0.92533244462228559</v>
      </c>
      <c r="S27">
        <f t="shared" si="10"/>
        <v>0.9253494537785184</v>
      </c>
      <c r="T27">
        <f t="shared" si="11"/>
        <v>0.9253664635600759</v>
      </c>
      <c r="U27">
        <f t="shared" si="6"/>
        <v>0.92513711486665307</v>
      </c>
      <c r="V27">
        <f t="shared" si="7"/>
        <v>0.92540048499930394</v>
      </c>
    </row>
    <row r="28" spans="1:22" x14ac:dyDescent="0.25">
      <c r="A28">
        <v>26</v>
      </c>
      <c r="B28" s="1">
        <v>0.92485684177648941</v>
      </c>
      <c r="C28">
        <f t="shared" si="8"/>
        <v>0.92327149395758179</v>
      </c>
      <c r="D28">
        <f t="shared" si="12"/>
        <v>0.92327149395758179</v>
      </c>
      <c r="E28">
        <f t="shared" si="12"/>
        <v>0.92327149395758179</v>
      </c>
      <c r="F28">
        <f t="shared" si="12"/>
        <v>0.92327149395758179</v>
      </c>
      <c r="G28">
        <f t="shared" si="12"/>
        <v>0.92327149395758179</v>
      </c>
      <c r="H28">
        <f t="shared" si="12"/>
        <v>0.92327149395758179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Q28">
        <f t="shared" si="5"/>
        <v>0.92443102208204109</v>
      </c>
      <c r="R28">
        <f t="shared" si="9"/>
        <v>0.92459231106155237</v>
      </c>
      <c r="S28">
        <f t="shared" si="10"/>
        <v>0.92460930661289387</v>
      </c>
      <c r="T28">
        <f t="shared" si="11"/>
        <v>0.92462630278905988</v>
      </c>
      <c r="U28">
        <f t="shared" si="6"/>
        <v>0.92439713754177699</v>
      </c>
      <c r="V28">
        <f t="shared" si="7"/>
        <v>0.92466029701600416</v>
      </c>
    </row>
    <row r="29" spans="1:22" x14ac:dyDescent="0.25">
      <c r="A29">
        <v>27</v>
      </c>
      <c r="B29" s="1">
        <v>0.92417739588853531</v>
      </c>
      <c r="C29">
        <f t="shared" si="8"/>
        <v>0.92259321274507566</v>
      </c>
      <c r="D29">
        <f t="shared" si="12"/>
        <v>0.92259321274507566</v>
      </c>
      <c r="E29">
        <f t="shared" si="12"/>
        <v>0.92259321274507566</v>
      </c>
      <c r="F29">
        <f t="shared" si="12"/>
        <v>0.92259321274507566</v>
      </c>
      <c r="G29">
        <f t="shared" si="12"/>
        <v>0.92259321274507566</v>
      </c>
      <c r="H29">
        <f t="shared" si="12"/>
        <v>0.92259321274507566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Q29">
        <f t="shared" si="5"/>
        <v>0.92375188902243766</v>
      </c>
      <c r="R29">
        <f t="shared" si="9"/>
        <v>0.92391305951103342</v>
      </c>
      <c r="S29">
        <f t="shared" si="10"/>
        <v>0.9239300425765965</v>
      </c>
      <c r="T29">
        <f t="shared" si="11"/>
        <v>0.92394702626652536</v>
      </c>
      <c r="U29">
        <f t="shared" si="6"/>
        <v>0.92371802937544401</v>
      </c>
      <c r="V29">
        <f t="shared" si="7"/>
        <v>0.92398099551961776</v>
      </c>
    </row>
    <row r="30" spans="1:22" x14ac:dyDescent="0.25">
      <c r="A30">
        <v>28</v>
      </c>
      <c r="B30" s="1">
        <v>0.92302533987989965</v>
      </c>
      <c r="C30">
        <f t="shared" si="8"/>
        <v>0.9214431315388073</v>
      </c>
      <c r="D30">
        <f t="shared" si="12"/>
        <v>0.9214431315388073</v>
      </c>
      <c r="E30">
        <f t="shared" si="12"/>
        <v>0.9214431315388073</v>
      </c>
      <c r="F30">
        <f t="shared" si="12"/>
        <v>0.9214431315388073</v>
      </c>
      <c r="G30">
        <f t="shared" si="12"/>
        <v>0.9214431315388073</v>
      </c>
      <c r="H30">
        <f t="shared" si="12"/>
        <v>0.9214431315388073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Q30">
        <f t="shared" si="5"/>
        <v>0.92260036343982621</v>
      </c>
      <c r="R30">
        <f t="shared" si="9"/>
        <v>0.92276133301739494</v>
      </c>
      <c r="S30">
        <f t="shared" si="10"/>
        <v>0.92277829491230101</v>
      </c>
      <c r="T30">
        <f t="shared" si="11"/>
        <v>0.92279525743079438</v>
      </c>
      <c r="U30">
        <f t="shared" si="6"/>
        <v>0.92256654600140631</v>
      </c>
      <c r="V30">
        <f t="shared" si="7"/>
        <v>0.922829184338681</v>
      </c>
    </row>
    <row r="31" spans="1:22" x14ac:dyDescent="0.25">
      <c r="A31">
        <v>29</v>
      </c>
      <c r="B31" s="1">
        <v>0.92123980519233906</v>
      </c>
      <c r="C31">
        <f t="shared" si="8"/>
        <v>0.91966065753414883</v>
      </c>
      <c r="D31">
        <f t="shared" si="12"/>
        <v>0.91966065753414883</v>
      </c>
      <c r="E31">
        <f t="shared" si="12"/>
        <v>0.91966065753414883</v>
      </c>
      <c r="F31">
        <f t="shared" si="12"/>
        <v>0.91966065753414883</v>
      </c>
      <c r="G31">
        <f t="shared" si="12"/>
        <v>0.91966065753414883</v>
      </c>
      <c r="H31">
        <f t="shared" si="12"/>
        <v>0.91966065753414883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Q31">
        <f t="shared" si="5"/>
        <v>0.92081565084256189</v>
      </c>
      <c r="R31">
        <f t="shared" si="9"/>
        <v>0.9209763090345684</v>
      </c>
      <c r="S31">
        <f t="shared" si="10"/>
        <v>0.92099323811775158</v>
      </c>
      <c r="T31">
        <f t="shared" si="11"/>
        <v>0.92101016782331568</v>
      </c>
      <c r="U31">
        <f t="shared" si="6"/>
        <v>0.92078189882185779</v>
      </c>
      <c r="V31">
        <f t="shared" si="7"/>
        <v>0.92104402910172467</v>
      </c>
    </row>
    <row r="32" spans="1:22" x14ac:dyDescent="0.25">
      <c r="A32">
        <v>30</v>
      </c>
      <c r="B32" s="1">
        <v>0.91877300565663922</v>
      </c>
      <c r="C32">
        <f t="shared" si="8"/>
        <v>0.91719808647477841</v>
      </c>
      <c r="D32">
        <f t="shared" si="12"/>
        <v>0.91719808647477841</v>
      </c>
      <c r="E32">
        <f t="shared" si="12"/>
        <v>0.91719808647477841</v>
      </c>
      <c r="F32">
        <f t="shared" si="12"/>
        <v>0.91719808647477841</v>
      </c>
      <c r="G32">
        <f t="shared" si="12"/>
        <v>0.91719808647477841</v>
      </c>
      <c r="H32">
        <f t="shared" si="12"/>
        <v>0.91719808647477841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Q32">
        <f t="shared" si="5"/>
        <v>0.91834998706298898</v>
      </c>
      <c r="R32">
        <f t="shared" si="9"/>
        <v>0.91851021506130293</v>
      </c>
      <c r="S32">
        <f t="shared" si="10"/>
        <v>0.91852709881355887</v>
      </c>
      <c r="T32">
        <f t="shared" si="11"/>
        <v>0.9185439831865293</v>
      </c>
      <c r="U32">
        <f t="shared" si="6"/>
        <v>0.91831632541991348</v>
      </c>
      <c r="V32">
        <f t="shared" si="7"/>
        <v>0.91857775379475082</v>
      </c>
    </row>
    <row r="33" spans="1:22" x14ac:dyDescent="0.25">
      <c r="A33">
        <v>31</v>
      </c>
      <c r="B33" s="1">
        <v>0.91591953130517634</v>
      </c>
      <c r="C33">
        <f t="shared" si="8"/>
        <v>0.91434950342014665</v>
      </c>
      <c r="D33">
        <f t="shared" si="12"/>
        <v>0.91434950342014665</v>
      </c>
      <c r="E33">
        <f t="shared" si="12"/>
        <v>0.91434950342014665</v>
      </c>
      <c r="F33">
        <f t="shared" si="12"/>
        <v>0.91434950342014665</v>
      </c>
      <c r="G33">
        <f t="shared" si="12"/>
        <v>0.91434950342014665</v>
      </c>
      <c r="H33">
        <f t="shared" si="12"/>
        <v>0.91434950342014665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Q33">
        <f t="shared" si="5"/>
        <v>0.91549782649926226</v>
      </c>
      <c r="R33">
        <f t="shared" si="9"/>
        <v>0.91565755687032691</v>
      </c>
      <c r="S33">
        <f t="shared" si="10"/>
        <v>0.91567438818595959</v>
      </c>
      <c r="T33">
        <f t="shared" si="11"/>
        <v>0.91569122012037885</v>
      </c>
      <c r="U33">
        <f t="shared" si="6"/>
        <v>0.91546426940065484</v>
      </c>
      <c r="V33">
        <f t="shared" si="7"/>
        <v>0.91572488584571443</v>
      </c>
    </row>
    <row r="34" spans="1:22" x14ac:dyDescent="0.25">
      <c r="A34">
        <v>32</v>
      </c>
      <c r="B34" s="1">
        <v>0.91339456471039226</v>
      </c>
      <c r="C34">
        <f t="shared" si="8"/>
        <v>0.91182886500903715</v>
      </c>
      <c r="D34">
        <f t="shared" si="12"/>
        <v>0.91182886500903715</v>
      </c>
      <c r="E34">
        <f t="shared" si="12"/>
        <v>0.91182886500903715</v>
      </c>
      <c r="F34">
        <f t="shared" si="12"/>
        <v>0.91182886500903715</v>
      </c>
      <c r="G34">
        <f t="shared" si="12"/>
        <v>0.91182886500903715</v>
      </c>
      <c r="H34">
        <f t="shared" si="12"/>
        <v>0.91182886500903715</v>
      </c>
      <c r="J34">
        <v>7</v>
      </c>
      <c r="K34">
        <v>7</v>
      </c>
      <c r="L34">
        <v>7</v>
      </c>
      <c r="M34">
        <v>7</v>
      </c>
      <c r="N34">
        <v>7</v>
      </c>
      <c r="O34">
        <v>7</v>
      </c>
      <c r="Q34">
        <f t="shared" si="5"/>
        <v>0.91297402244170056</v>
      </c>
      <c r="R34">
        <f t="shared" si="9"/>
        <v>0.91313331247511842</v>
      </c>
      <c r="S34">
        <f t="shared" si="10"/>
        <v>0.9131500973909219</v>
      </c>
      <c r="T34">
        <f t="shared" si="11"/>
        <v>0.91316688292380632</v>
      </c>
      <c r="U34">
        <f t="shared" si="6"/>
        <v>0.9129405578518236</v>
      </c>
      <c r="V34">
        <f t="shared" si="7"/>
        <v>0.913200455840954</v>
      </c>
    </row>
    <row r="35" spans="1:22" x14ac:dyDescent="0.25">
      <c r="A35">
        <v>33</v>
      </c>
      <c r="B35" s="1">
        <v>0.91179256235363837</v>
      </c>
      <c r="C35">
        <f t="shared" si="8"/>
        <v>0.9102296087323547</v>
      </c>
      <c r="D35">
        <f t="shared" si="12"/>
        <v>0.9102296087323547</v>
      </c>
      <c r="E35">
        <f t="shared" si="12"/>
        <v>0.9102296087323547</v>
      </c>
      <c r="F35">
        <f t="shared" si="12"/>
        <v>0.9102296087323547</v>
      </c>
      <c r="G35">
        <f t="shared" si="12"/>
        <v>0.9102296087323547</v>
      </c>
      <c r="H35">
        <f t="shared" si="12"/>
        <v>0.9102296087323547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Q35">
        <f t="shared" si="5"/>
        <v>0.91137275767386117</v>
      </c>
      <c r="R35">
        <f t="shared" si="9"/>
        <v>0.91153176832855398</v>
      </c>
      <c r="S35">
        <f t="shared" si="10"/>
        <v>0.91154852380530049</v>
      </c>
      <c r="T35">
        <f t="shared" si="11"/>
        <v>0.91156527989804559</v>
      </c>
      <c r="U35">
        <f t="shared" si="6"/>
        <v>0.91133935177751479</v>
      </c>
      <c r="V35">
        <f t="shared" si="7"/>
        <v>0.91159879393166754</v>
      </c>
    </row>
    <row r="36" spans="1:22" x14ac:dyDescent="0.25">
      <c r="A36">
        <v>34</v>
      </c>
      <c r="B36" s="1">
        <v>0.9116295824576891</v>
      </c>
      <c r="C36">
        <f t="shared" si="8"/>
        <v>0.91006690820918068</v>
      </c>
      <c r="D36">
        <f t="shared" si="12"/>
        <v>0.91006690820918068</v>
      </c>
      <c r="E36">
        <f t="shared" si="12"/>
        <v>0.91006690820918068</v>
      </c>
      <c r="F36">
        <f t="shared" si="12"/>
        <v>0.91006690820918068</v>
      </c>
      <c r="G36">
        <f t="shared" si="12"/>
        <v>0.91006690820918068</v>
      </c>
      <c r="H36">
        <f t="shared" si="12"/>
        <v>0.91006690820918068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Q36">
        <f t="shared" si="5"/>
        <v>0.91120985281660594</v>
      </c>
      <c r="R36">
        <f t="shared" si="9"/>
        <v>0.91136883504867161</v>
      </c>
      <c r="S36">
        <f t="shared" si="10"/>
        <v>0.91138558753043231</v>
      </c>
      <c r="T36">
        <f t="shared" si="11"/>
        <v>0.91140234062808134</v>
      </c>
      <c r="U36">
        <f t="shared" si="6"/>
        <v>0.91117645289145266</v>
      </c>
      <c r="V36">
        <f t="shared" si="7"/>
        <v>0.91143584867118088</v>
      </c>
    </row>
    <row r="37" spans="1:22" x14ac:dyDescent="0.25">
      <c r="A37">
        <v>35</v>
      </c>
      <c r="B37" s="1">
        <v>0.91312742632586519</v>
      </c>
      <c r="C37">
        <f t="shared" si="8"/>
        <v>0.91156218454106108</v>
      </c>
      <c r="D37">
        <f t="shared" si="12"/>
        <v>0.91156218454106108</v>
      </c>
      <c r="E37">
        <f t="shared" si="12"/>
        <v>0.91156218454106108</v>
      </c>
      <c r="F37">
        <f t="shared" si="12"/>
        <v>0.91156218454106108</v>
      </c>
      <c r="G37">
        <f t="shared" si="12"/>
        <v>0.91156218454106108</v>
      </c>
      <c r="H37">
        <f t="shared" si="12"/>
        <v>0.91156218454106108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Q37">
        <f t="shared" si="5"/>
        <v>0.91270700705219288</v>
      </c>
      <c r="R37">
        <f t="shared" si="9"/>
        <v>0.91286625049842507</v>
      </c>
      <c r="S37">
        <f t="shared" si="10"/>
        <v>0.91288303050518327</v>
      </c>
      <c r="T37">
        <f t="shared" si="11"/>
        <v>0.91289981112884178</v>
      </c>
      <c r="U37">
        <f t="shared" si="6"/>
        <v>0.91267355224962665</v>
      </c>
      <c r="V37">
        <f t="shared" si="7"/>
        <v>0.9129333742269965</v>
      </c>
    </row>
    <row r="38" spans="1:22" x14ac:dyDescent="0.25">
      <c r="A38">
        <v>36</v>
      </c>
      <c r="B38" s="1">
        <v>0.9164401231456919</v>
      </c>
      <c r="C38">
        <f t="shared" si="8"/>
        <v>0.91486920288564633</v>
      </c>
      <c r="D38">
        <f t="shared" si="12"/>
        <v>0.91486920288564633</v>
      </c>
      <c r="E38">
        <f t="shared" si="12"/>
        <v>0.91486920288564633</v>
      </c>
      <c r="F38">
        <f t="shared" si="12"/>
        <v>0.91486920288564633</v>
      </c>
      <c r="G38">
        <f t="shared" si="12"/>
        <v>0.91486920288564633</v>
      </c>
      <c r="H38">
        <f t="shared" si="12"/>
        <v>0.91486920288564633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Q38">
        <f t="shared" si="5"/>
        <v>0.91601817865051094</v>
      </c>
      <c r="R38">
        <f t="shared" si="9"/>
        <v>0.91617799980938497</v>
      </c>
      <c r="S38">
        <f t="shared" si="10"/>
        <v>0.91619484069162827</v>
      </c>
      <c r="T38">
        <f t="shared" si="11"/>
        <v>0.91621168219300997</v>
      </c>
      <c r="U38">
        <f t="shared" si="6"/>
        <v>0.91598460247866498</v>
      </c>
      <c r="V38">
        <f t="shared" si="7"/>
        <v>0.91624536705332549</v>
      </c>
    </row>
    <row r="39" spans="1:22" x14ac:dyDescent="0.25">
      <c r="A39">
        <v>37</v>
      </c>
      <c r="B39" s="1">
        <v>0.92163262651580369</v>
      </c>
      <c r="C39">
        <f t="shared" si="8"/>
        <v>0.92005280550104596</v>
      </c>
      <c r="D39">
        <f t="shared" si="12"/>
        <v>0.92005280550104596</v>
      </c>
      <c r="E39">
        <f t="shared" si="12"/>
        <v>0.92005280550104596</v>
      </c>
      <c r="F39">
        <f t="shared" si="12"/>
        <v>0.92005280550104596</v>
      </c>
      <c r="G39">
        <f t="shared" si="12"/>
        <v>0.92005280550104596</v>
      </c>
      <c r="H39">
        <f t="shared" si="12"/>
        <v>0.92005280550104596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Q39">
        <f t="shared" si="5"/>
        <v>0.92120829130446136</v>
      </c>
      <c r="R39">
        <f t="shared" si="9"/>
        <v>0.92136901800193549</v>
      </c>
      <c r="S39">
        <f t="shared" si="10"/>
        <v>0.92138595430376546</v>
      </c>
      <c r="T39">
        <f t="shared" si="11"/>
        <v>0.92140289122824193</v>
      </c>
      <c r="U39">
        <f t="shared" si="6"/>
        <v>0.92117452489172458</v>
      </c>
      <c r="V39">
        <f t="shared" si="7"/>
        <v>0.92143676694527166</v>
      </c>
    </row>
    <row r="40" spans="1:22" x14ac:dyDescent="0.25">
      <c r="A40">
        <v>38</v>
      </c>
      <c r="B40" s="1">
        <v>0.92839215306167999</v>
      </c>
      <c r="C40">
        <f t="shared" si="8"/>
        <v>0.92680074517187061</v>
      </c>
      <c r="D40">
        <f t="shared" si="12"/>
        <v>0.92680074517187061</v>
      </c>
      <c r="E40">
        <f t="shared" si="12"/>
        <v>0.92680074517187061</v>
      </c>
      <c r="F40">
        <f t="shared" si="12"/>
        <v>0.92680074517187061</v>
      </c>
      <c r="G40">
        <f t="shared" si="12"/>
        <v>0.92680074517187061</v>
      </c>
      <c r="H40">
        <f t="shared" si="12"/>
        <v>0.92680074517187061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Q40">
        <f t="shared" si="5"/>
        <v>0.92796470565026701</v>
      </c>
      <c r="R40">
        <f t="shared" si="9"/>
        <v>0.9281266111649259</v>
      </c>
      <c r="S40">
        <f t="shared" si="10"/>
        <v>0.92814367168260781</v>
      </c>
      <c r="T40">
        <f t="shared" si="11"/>
        <v>0.92816073282750278</v>
      </c>
      <c r="U40">
        <f t="shared" si="6"/>
        <v>0.92793069158466213</v>
      </c>
      <c r="V40">
        <f t="shared" si="7"/>
        <v>0.92819485699907056</v>
      </c>
    </row>
    <row r="41" spans="1:22" x14ac:dyDescent="0.25">
      <c r="A41">
        <v>39</v>
      </c>
      <c r="B41" s="1">
        <v>0.93630232956008252</v>
      </c>
      <c r="C41">
        <f t="shared" si="8"/>
        <v>0.93469736240305201</v>
      </c>
      <c r="D41">
        <f t="shared" si="12"/>
        <v>0.93469736240305201</v>
      </c>
      <c r="E41">
        <f t="shared" si="12"/>
        <v>0.93469736240305201</v>
      </c>
      <c r="F41">
        <f t="shared" si="12"/>
        <v>0.93469736240305201</v>
      </c>
      <c r="G41">
        <f t="shared" si="12"/>
        <v>0.93469736240305201</v>
      </c>
      <c r="H41">
        <f t="shared" si="12"/>
        <v>0.93469736240305201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Q41">
        <f t="shared" si="5"/>
        <v>0.93587124016994649</v>
      </c>
      <c r="R41">
        <f t="shared" si="9"/>
        <v>0.93603452516761021</v>
      </c>
      <c r="S41">
        <f t="shared" si="10"/>
        <v>0.93605173104596284</v>
      </c>
      <c r="T41">
        <f t="shared" si="11"/>
        <v>0.93606893755687248</v>
      </c>
      <c r="U41">
        <f t="shared" si="6"/>
        <v>0.93583693629441433</v>
      </c>
      <c r="V41">
        <f t="shared" si="7"/>
        <v>0.93610335247650311</v>
      </c>
    </row>
    <row r="42" spans="1:22" x14ac:dyDescent="0.25">
      <c r="A42">
        <v>40</v>
      </c>
      <c r="B42" s="1">
        <v>0.94483879039596064</v>
      </c>
      <c r="C42">
        <f t="shared" si="8"/>
        <v>0.94321919042338931</v>
      </c>
      <c r="D42">
        <f t="shared" si="12"/>
        <v>0.94321919042338931</v>
      </c>
      <c r="E42">
        <f t="shared" si="12"/>
        <v>0.94321919042338931</v>
      </c>
      <c r="F42">
        <f t="shared" si="12"/>
        <v>0.94321919042338931</v>
      </c>
      <c r="G42">
        <f t="shared" si="12"/>
        <v>0.94321919042338931</v>
      </c>
      <c r="H42">
        <f t="shared" si="12"/>
        <v>0.94321919042338931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Q42">
        <f t="shared" si="5"/>
        <v>0.94440377067522574</v>
      </c>
      <c r="R42">
        <f t="shared" si="9"/>
        <v>0.94456854437578341</v>
      </c>
      <c r="S42">
        <f t="shared" si="10"/>
        <v>0.94458590712366641</v>
      </c>
      <c r="T42">
        <f t="shared" si="11"/>
        <v>0.94460327050987358</v>
      </c>
      <c r="U42">
        <f t="shared" si="6"/>
        <v>0.94436915404420763</v>
      </c>
      <c r="V42">
        <f t="shared" si="7"/>
        <v>0.94463799919740188</v>
      </c>
    </row>
    <row r="43" spans="1:22" x14ac:dyDescent="0.25">
      <c r="A43">
        <v>41</v>
      </c>
      <c r="B43" s="1">
        <v>0.95355405310057728</v>
      </c>
      <c r="C43">
        <f t="shared" si="8"/>
        <v>0.95191951381837892</v>
      </c>
      <c r="D43">
        <f t="shared" si="12"/>
        <v>0.95191951381837892</v>
      </c>
      <c r="E43">
        <f t="shared" si="12"/>
        <v>0.95191951381837892</v>
      </c>
      <c r="F43">
        <f t="shared" si="12"/>
        <v>0.95191951381837892</v>
      </c>
      <c r="G43">
        <f t="shared" si="12"/>
        <v>0.95191951381837892</v>
      </c>
      <c r="H43">
        <f t="shared" si="12"/>
        <v>0.95191951381837892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Q43">
        <f t="shared" si="5"/>
        <v>0.95311502072584631</v>
      </c>
      <c r="R43">
        <f t="shared" si="9"/>
        <v>0.95328131431117358</v>
      </c>
      <c r="S43">
        <f t="shared" si="10"/>
        <v>0.95329883721432385</v>
      </c>
      <c r="T43">
        <f t="shared" si="11"/>
        <v>0.95331636076168624</v>
      </c>
      <c r="U43">
        <f t="shared" si="6"/>
        <v>0.95308008478847006</v>
      </c>
      <c r="V43">
        <f t="shared" si="7"/>
        <v>0.95335140978919042</v>
      </c>
    </row>
    <row r="44" spans="1:22" x14ac:dyDescent="0.25">
      <c r="A44">
        <v>42</v>
      </c>
      <c r="B44" s="1">
        <v>0.96217149175664518</v>
      </c>
      <c r="C44">
        <f t="shared" si="8"/>
        <v>0.96052218085038477</v>
      </c>
      <c r="D44">
        <f t="shared" si="12"/>
        <v>0.96052218085038477</v>
      </c>
      <c r="E44">
        <f t="shared" si="12"/>
        <v>0.96052218085038477</v>
      </c>
      <c r="F44">
        <f t="shared" si="12"/>
        <v>0.96052218085038477</v>
      </c>
      <c r="G44">
        <f t="shared" si="12"/>
        <v>0.96052218085038477</v>
      </c>
      <c r="H44">
        <f t="shared" si="12"/>
        <v>0.96052218085038477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Q44">
        <f t="shared" si="5"/>
        <v>0.96172849176776065</v>
      </c>
      <c r="R44">
        <f t="shared" si="9"/>
        <v>0.96189628817798367</v>
      </c>
      <c r="S44">
        <f t="shared" si="10"/>
        <v>0.96191396943874619</v>
      </c>
      <c r="T44">
        <f t="shared" si="11"/>
        <v>0.96193165134954273</v>
      </c>
      <c r="U44">
        <f t="shared" si="6"/>
        <v>0.96169324010806512</v>
      </c>
      <c r="V44">
        <f t="shared" si="7"/>
        <v>0.96196701712138188</v>
      </c>
    </row>
    <row r="45" spans="1:22" x14ac:dyDescent="0.25">
      <c r="A45">
        <v>43</v>
      </c>
      <c r="B45" s="1">
        <v>0.97112266416575566</v>
      </c>
      <c r="C45">
        <f t="shared" si="8"/>
        <v>0.96945800956410966</v>
      </c>
      <c r="D45">
        <f t="shared" si="12"/>
        <v>0.96945800956410966</v>
      </c>
      <c r="E45">
        <f t="shared" si="12"/>
        <v>0.96945800956410966</v>
      </c>
      <c r="F45">
        <f t="shared" si="12"/>
        <v>0.96945800956410966</v>
      </c>
      <c r="G45">
        <f t="shared" si="12"/>
        <v>0.96945800956410966</v>
      </c>
      <c r="H45">
        <f t="shared" si="12"/>
        <v>0.96945800956410966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Q45">
        <f t="shared" si="5"/>
        <v>0.97067554290606672</v>
      </c>
      <c r="R45">
        <f t="shared" si="9"/>
        <v>0.97084490034216764</v>
      </c>
      <c r="S45">
        <f t="shared" si="10"/>
        <v>0.97086274609337164</v>
      </c>
      <c r="T45">
        <f t="shared" si="11"/>
        <v>0.97088059250065706</v>
      </c>
      <c r="U45">
        <f t="shared" si="6"/>
        <v>0.97063996329684621</v>
      </c>
      <c r="V45">
        <f t="shared" si="7"/>
        <v>0.97091628728361712</v>
      </c>
    </row>
    <row r="46" spans="1:22" x14ac:dyDescent="0.25">
      <c r="A46">
        <v>44</v>
      </c>
      <c r="B46" s="1">
        <v>0.98094985047326821</v>
      </c>
      <c r="C46">
        <f t="shared" si="8"/>
        <v>0.97926835055278494</v>
      </c>
      <c r="D46">
        <f t="shared" si="12"/>
        <v>0.97926835055278494</v>
      </c>
      <c r="E46">
        <f t="shared" si="12"/>
        <v>0.97926835055278494</v>
      </c>
      <c r="F46">
        <f t="shared" si="12"/>
        <v>0.97926835055278494</v>
      </c>
      <c r="G46">
        <f t="shared" si="12"/>
        <v>0.97926835055278494</v>
      </c>
      <c r="H46">
        <f t="shared" si="12"/>
        <v>0.97926835055278494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Q46">
        <f t="shared" si="5"/>
        <v>0.98049820461119586</v>
      </c>
      <c r="R46">
        <f t="shared" si="9"/>
        <v>0.98066927584426433</v>
      </c>
      <c r="S46">
        <f t="shared" si="10"/>
        <v>0.9806873021839031</v>
      </c>
      <c r="T46">
        <f t="shared" si="11"/>
        <v>0.98070532918626241</v>
      </c>
      <c r="U46">
        <f t="shared" si="6"/>
        <v>0.98046226495739863</v>
      </c>
      <c r="V46">
        <f t="shared" si="7"/>
        <v>0.98074138517928933</v>
      </c>
    </row>
    <row r="47" spans="1:22" x14ac:dyDescent="0.25">
      <c r="A47">
        <v>45</v>
      </c>
      <c r="B47" s="1">
        <v>0.99197249168986834</v>
      </c>
      <c r="C47">
        <f t="shared" si="8"/>
        <v>0.99027209725574572</v>
      </c>
      <c r="D47">
        <f t="shared" si="12"/>
        <v>0.99027209725574572</v>
      </c>
      <c r="E47">
        <f t="shared" si="12"/>
        <v>0.99027209725574572</v>
      </c>
      <c r="F47">
        <f t="shared" si="12"/>
        <v>0.99027209725574572</v>
      </c>
      <c r="G47">
        <f t="shared" si="12"/>
        <v>0.99027209725574572</v>
      </c>
      <c r="H47">
        <f t="shared" si="12"/>
        <v>0.99027209725574572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Q47">
        <f t="shared" si="5"/>
        <v>0.99151577081780207</v>
      </c>
      <c r="R47">
        <f t="shared" si="9"/>
        <v>0.99168876432734954</v>
      </c>
      <c r="S47">
        <f t="shared" si="10"/>
        <v>0.99170699322359634</v>
      </c>
      <c r="T47">
        <f t="shared" si="11"/>
        <v>0.99172522279001041</v>
      </c>
      <c r="U47">
        <f t="shared" si="6"/>
        <v>0.99147942732082261</v>
      </c>
      <c r="V47">
        <f t="shared" si="7"/>
        <v>0.99176168393348885</v>
      </c>
    </row>
    <row r="48" spans="1:22" x14ac:dyDescent="0.25">
      <c r="A48">
        <v>46</v>
      </c>
      <c r="B48" s="1">
        <v>1.0040481562678467</v>
      </c>
      <c r="C48">
        <f t="shared" si="8"/>
        <v>1.0023270622750078</v>
      </c>
      <c r="D48">
        <f t="shared" si="12"/>
        <v>1.0023270622750078</v>
      </c>
      <c r="E48">
        <f t="shared" si="12"/>
        <v>1.0023270622750078</v>
      </c>
      <c r="F48">
        <f t="shared" si="12"/>
        <v>1.0023270622750078</v>
      </c>
      <c r="G48">
        <f t="shared" si="12"/>
        <v>1.0023270622750078</v>
      </c>
      <c r="H48">
        <f t="shared" si="12"/>
        <v>1.0023270622750078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Q48">
        <f t="shared" si="5"/>
        <v>1.003585875556064</v>
      </c>
      <c r="R48">
        <f t="shared" si="9"/>
        <v>1.0037609749824723</v>
      </c>
      <c r="S48">
        <f t="shared" si="10"/>
        <v>1.003779425786119</v>
      </c>
      <c r="T48">
        <f t="shared" si="11"/>
        <v>1.0037978772680916</v>
      </c>
      <c r="U48">
        <f t="shared" si="6"/>
        <v>1.0035490896356476</v>
      </c>
      <c r="V48">
        <f t="shared" si="7"/>
        <v>1.0038347822671632</v>
      </c>
    </row>
    <row r="49" spans="1:22" x14ac:dyDescent="0.25">
      <c r="A49">
        <v>47</v>
      </c>
      <c r="B49" s="1">
        <v>1.016864562232267</v>
      </c>
      <c r="C49">
        <f t="shared" si="8"/>
        <v>1.0151214989352892</v>
      </c>
      <c r="D49">
        <f t="shared" si="12"/>
        <v>1.0151214989352892</v>
      </c>
      <c r="E49">
        <f t="shared" si="12"/>
        <v>1.0151214989352892</v>
      </c>
      <c r="F49">
        <f t="shared" si="12"/>
        <v>1.0151214989352892</v>
      </c>
      <c r="G49">
        <f t="shared" si="12"/>
        <v>1.0151214989352892</v>
      </c>
      <c r="H49">
        <f t="shared" si="12"/>
        <v>1.0151214989352892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Q49">
        <f t="shared" si="5"/>
        <v>1.0163963806309357</v>
      </c>
      <c r="R49">
        <f t="shared" si="9"/>
        <v>1.0165737151546537</v>
      </c>
      <c r="S49">
        <f t="shared" si="10"/>
        <v>1.0165924014778704</v>
      </c>
      <c r="T49">
        <f t="shared" si="11"/>
        <v>1.0166110884880715</v>
      </c>
      <c r="U49">
        <f t="shared" si="6"/>
        <v>1.0163591251480917</v>
      </c>
      <c r="V49">
        <f t="shared" si="7"/>
        <v>1.0166484645695779</v>
      </c>
    </row>
    <row r="50" spans="1:22" x14ac:dyDescent="0.25">
      <c r="A50">
        <v>48</v>
      </c>
      <c r="B50" s="1">
        <v>1.0302331804852427</v>
      </c>
      <c r="C50">
        <f t="shared" si="8"/>
        <v>1.0284672013067664</v>
      </c>
      <c r="D50">
        <f t="shared" si="12"/>
        <v>1.0284672013067664</v>
      </c>
      <c r="E50">
        <f t="shared" si="12"/>
        <v>1.0284672013067664</v>
      </c>
      <c r="F50">
        <f t="shared" si="12"/>
        <v>1.0284672013067664</v>
      </c>
      <c r="G50">
        <f t="shared" si="12"/>
        <v>1.0284672013067664</v>
      </c>
      <c r="H50">
        <f t="shared" si="12"/>
        <v>1.0284672013067664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Q50">
        <f t="shared" si="5"/>
        <v>1.0297588437465079</v>
      </c>
      <c r="R50">
        <f t="shared" si="9"/>
        <v>1.0299385096697442</v>
      </c>
      <c r="S50">
        <f t="shared" si="10"/>
        <v>1.029957441660212</v>
      </c>
      <c r="T50">
        <f t="shared" si="11"/>
        <v>1.0299763743466956</v>
      </c>
      <c r="U50">
        <f t="shared" si="6"/>
        <v>1.0297210984694998</v>
      </c>
      <c r="V50">
        <f t="shared" si="7"/>
        <v>1.0300142418078648</v>
      </c>
    </row>
    <row r="51" spans="1:22" x14ac:dyDescent="0.25">
      <c r="A51">
        <v>49</v>
      </c>
      <c r="B51" s="1">
        <v>1.0439795151117039</v>
      </c>
      <c r="C51">
        <f t="shared" si="8"/>
        <v>1.0421899725873847</v>
      </c>
      <c r="D51">
        <f t="shared" si="12"/>
        <v>1.0421899725873847</v>
      </c>
      <c r="E51">
        <f t="shared" si="12"/>
        <v>1.0421899725873847</v>
      </c>
      <c r="F51">
        <f t="shared" si="12"/>
        <v>1.0421899725873847</v>
      </c>
      <c r="G51">
        <f t="shared" si="12"/>
        <v>1.0421899725873847</v>
      </c>
      <c r="H51">
        <f t="shared" si="12"/>
        <v>1.0421899725873847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Q51">
        <f t="shared" si="5"/>
        <v>1.0434988493285744</v>
      </c>
      <c r="R51">
        <f t="shared" si="9"/>
        <v>1.0436809125225921</v>
      </c>
      <c r="S51">
        <f t="shared" si="10"/>
        <v>1.043700097121383</v>
      </c>
      <c r="T51">
        <f t="shared" si="11"/>
        <v>1.0437192824254768</v>
      </c>
      <c r="U51">
        <f t="shared" si="6"/>
        <v>1.043460600418779</v>
      </c>
      <c r="V51">
        <f t="shared" si="7"/>
        <v>1.0437576551497285</v>
      </c>
    </row>
    <row r="52" spans="1:22" x14ac:dyDescent="0.25">
      <c r="A52">
        <v>50</v>
      </c>
      <c r="B52" s="1">
        <v>1.0577152650955406</v>
      </c>
      <c r="C52">
        <f t="shared" si="8"/>
        <v>1.0559021773690946</v>
      </c>
      <c r="D52">
        <f t="shared" si="12"/>
        <v>1.0559021773690946</v>
      </c>
      <c r="E52">
        <f t="shared" si="12"/>
        <v>1.0559021773690946</v>
      </c>
      <c r="F52">
        <f t="shared" si="12"/>
        <v>1.0559021773690946</v>
      </c>
      <c r="G52">
        <f t="shared" si="12"/>
        <v>1.0559021773690946</v>
      </c>
      <c r="H52">
        <f t="shared" si="12"/>
        <v>1.0559021773690946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Q52">
        <f t="shared" si="5"/>
        <v>1.0572282751413644</v>
      </c>
      <c r="R52">
        <f t="shared" si="9"/>
        <v>1.0574127337602712</v>
      </c>
      <c r="S52">
        <f t="shared" si="10"/>
        <v>1.0574321707728775</v>
      </c>
      <c r="T52">
        <f t="shared" si="11"/>
        <v>1.0574516085000663</v>
      </c>
      <c r="U52">
        <f t="shared" si="6"/>
        <v>1.0571895229865775</v>
      </c>
      <c r="V52">
        <f t="shared" si="7"/>
        <v>1.0574904860983496</v>
      </c>
    </row>
    <row r="53" spans="1:22" x14ac:dyDescent="0.25">
      <c r="A53">
        <v>51</v>
      </c>
      <c r="B53" s="1">
        <v>1.0710571284234982</v>
      </c>
      <c r="C53">
        <f t="shared" si="8"/>
        <v>1.0692211706776376</v>
      </c>
      <c r="D53">
        <f t="shared" si="12"/>
        <v>1.0692211706776376</v>
      </c>
      <c r="E53">
        <f t="shared" si="12"/>
        <v>1.0692211706776376</v>
      </c>
      <c r="F53">
        <f t="shared" si="12"/>
        <v>1.0692211706776376</v>
      </c>
      <c r="G53">
        <f t="shared" si="12"/>
        <v>1.0692211706776376</v>
      </c>
      <c r="H53">
        <f t="shared" si="12"/>
        <v>1.0692211706776376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Q53">
        <f t="shared" si="5"/>
        <v>1.0705639956503372</v>
      </c>
      <c r="R53">
        <f t="shared" si="9"/>
        <v>1.0707507810028789</v>
      </c>
      <c r="S53">
        <f t="shared" si="10"/>
        <v>1.0707704631910766</v>
      </c>
      <c r="T53">
        <f t="shared" si="11"/>
        <v>1.0707901461028704</v>
      </c>
      <c r="U53">
        <f t="shared" si="6"/>
        <v>1.070524754681623</v>
      </c>
      <c r="V53">
        <f t="shared" si="7"/>
        <v>1.0708295140974067</v>
      </c>
    </row>
    <row r="54" spans="1:22" x14ac:dyDescent="0.25">
      <c r="A54">
        <v>52</v>
      </c>
      <c r="B54" s="1">
        <v>1.0842950985228632</v>
      </c>
      <c r="C54">
        <f t="shared" si="8"/>
        <v>1.0824364488466673</v>
      </c>
      <c r="D54">
        <f t="shared" si="12"/>
        <v>1.0824364488466673</v>
      </c>
      <c r="E54">
        <f t="shared" si="12"/>
        <v>1.0824364488466673</v>
      </c>
      <c r="F54">
        <f t="shared" si="12"/>
        <v>1.0824364488466673</v>
      </c>
      <c r="G54">
        <f t="shared" si="12"/>
        <v>1.0824364488466673</v>
      </c>
      <c r="H54">
        <f t="shared" si="12"/>
        <v>1.0824364488466673</v>
      </c>
      <c r="J54">
        <v>7</v>
      </c>
      <c r="K54">
        <v>5</v>
      </c>
      <c r="L54">
        <v>6</v>
      </c>
      <c r="M54">
        <v>7</v>
      </c>
      <c r="N54">
        <v>7</v>
      </c>
      <c r="O54">
        <v>7</v>
      </c>
      <c r="Q54">
        <f t="shared" si="5"/>
        <v>1.0837958707649131</v>
      </c>
      <c r="R54">
        <f t="shared" si="9"/>
        <v>1.0839849647327904</v>
      </c>
      <c r="S54">
        <f t="shared" si="10"/>
        <v>1.0840048901873947</v>
      </c>
      <c r="T54">
        <f t="shared" si="11"/>
        <v>1.0840248163745385</v>
      </c>
      <c r="U54">
        <f t="shared" si="6"/>
        <v>1.0837561447886708</v>
      </c>
      <c r="V54">
        <f t="shared" si="7"/>
        <v>1.0840646709466071</v>
      </c>
    </row>
    <row r="55" spans="1:22" x14ac:dyDescent="0.25">
      <c r="A55">
        <v>53</v>
      </c>
      <c r="B55">
        <f>B2</f>
        <v>1.0910062045151472</v>
      </c>
      <c r="C55">
        <f>$B$55/AVERAGE($B$3:$B$55)</f>
        <v>1.0891360509642252</v>
      </c>
      <c r="G55">
        <f>$B$55/AVERAGE($B$3:$B$55)</f>
        <v>1.0891360509642252</v>
      </c>
      <c r="H55">
        <f>$B$55/AVERAGE($B$3:$B$55)</f>
        <v>1.0891360509642252</v>
      </c>
      <c r="J55">
        <v>4</v>
      </c>
      <c r="N55">
        <v>2</v>
      </c>
      <c r="O55">
        <v>3</v>
      </c>
      <c r="Q55">
        <f t="shared" si="5"/>
        <v>1.0905038868507662</v>
      </c>
      <c r="U55">
        <f t="shared" si="6"/>
        <v>1.0904639149956687</v>
      </c>
      <c r="V55">
        <f t="shared" si="7"/>
        <v>1.0907743507368453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66F7-7171-4515-9392-240B4A78ED84}">
  <dimension ref="A1:G55"/>
  <sheetViews>
    <sheetView workbookViewId="0">
      <selection activeCell="K4" sqref="K4"/>
    </sheetView>
  </sheetViews>
  <sheetFormatPr defaultRowHeight="15" x14ac:dyDescent="0.25"/>
  <sheetData>
    <row r="1" spans="1:7" x14ac:dyDescent="0.25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5">
      <c r="A2">
        <v>0</v>
      </c>
      <c r="C2">
        <v>1.0906941511916006</v>
      </c>
      <c r="D2">
        <v>1.0907141999722605</v>
      </c>
      <c r="E2">
        <v>1.0907342494899941</v>
      </c>
    </row>
    <row r="3" spans="1:7" x14ac:dyDescent="0.25">
      <c r="A3">
        <v>1</v>
      </c>
      <c r="B3">
        <v>1.0972119029366196</v>
      </c>
      <c r="C3">
        <v>1.0974033376504111</v>
      </c>
      <c r="D3">
        <v>1.097423509757127</v>
      </c>
      <c r="E3">
        <v>1.0974436826054503</v>
      </c>
      <c r="F3">
        <v>1.0971716852026674</v>
      </c>
      <c r="G3">
        <v>1.0974840305270837</v>
      </c>
    </row>
    <row r="4" spans="1:7" x14ac:dyDescent="0.25">
      <c r="A4">
        <v>2</v>
      </c>
      <c r="B4">
        <v>1.1101462156213842</v>
      </c>
      <c r="C4">
        <v>1.1103399070336679</v>
      </c>
      <c r="D4">
        <v>1.1103603169361411</v>
      </c>
      <c r="E4">
        <v>1.1103807275889646</v>
      </c>
      <c r="F4">
        <v>1.1101055237869002</v>
      </c>
      <c r="G4">
        <v>1.1104215511458269</v>
      </c>
    </row>
    <row r="5" spans="1:7" x14ac:dyDescent="0.25">
      <c r="A5">
        <v>3</v>
      </c>
      <c r="B5">
        <v>1.1215440825081593</v>
      </c>
      <c r="C5">
        <v>1.121739762549421</v>
      </c>
      <c r="D5">
        <v>1.1217603820002839</v>
      </c>
      <c r="E5">
        <v>1.1217810022092005</v>
      </c>
      <c r="F5">
        <v>1.1215029728907686</v>
      </c>
      <c r="G5">
        <v>1.1218222449013626</v>
      </c>
    </row>
    <row r="6" spans="1:7" x14ac:dyDescent="0.25">
      <c r="A6">
        <v>4</v>
      </c>
      <c r="B6">
        <v>1.1307657712646222</v>
      </c>
      <c r="C6">
        <v>1.1309630602488265</v>
      </c>
      <c r="D6">
        <v>1.1309838492393101</v>
      </c>
      <c r="E6">
        <v>1.1310046389940802</v>
      </c>
      <c r="F6">
        <v>1.1307243236310072</v>
      </c>
      <c r="G6">
        <v>1.1310462207966496</v>
      </c>
    </row>
    <row r="7" spans="1:7" x14ac:dyDescent="0.25">
      <c r="A7">
        <v>5</v>
      </c>
      <c r="B7">
        <v>1.1373004054269411</v>
      </c>
      <c r="C7">
        <v>1.1374988345335022</v>
      </c>
      <c r="D7">
        <v>1.137519743662436</v>
      </c>
      <c r="E7">
        <v>1.1375406535600732</v>
      </c>
      <c r="F7">
        <v>1.1372587182696956</v>
      </c>
      <c r="G7">
        <v>1.137582475661628</v>
      </c>
    </row>
    <row r="8" spans="1:7" x14ac:dyDescent="0.25">
      <c r="A8">
        <v>6</v>
      </c>
      <c r="B8">
        <v>1.1407838603626581</v>
      </c>
      <c r="C8">
        <v>1.1409828972407872</v>
      </c>
      <c r="D8">
        <v>1.1410038704126142</v>
      </c>
      <c r="E8">
        <v>1.1410248443554989</v>
      </c>
      <c r="F8">
        <v>1.1407420455211765</v>
      </c>
      <c r="G8">
        <v>1.1410667945546131</v>
      </c>
    </row>
    <row r="9" spans="1:7" x14ac:dyDescent="0.25">
      <c r="A9">
        <v>7</v>
      </c>
      <c r="B9">
        <v>1.1407813356649885</v>
      </c>
      <c r="C9">
        <v>1.1409803721026239</v>
      </c>
      <c r="D9">
        <v>1.1410013452280348</v>
      </c>
      <c r="E9">
        <v>1.1410223191245015</v>
      </c>
      <c r="F9">
        <v>1.1407395209160482</v>
      </c>
      <c r="G9">
        <v>1.1410642692307746</v>
      </c>
    </row>
    <row r="10" spans="1:7" x14ac:dyDescent="0.25">
      <c r="A10">
        <v>8</v>
      </c>
      <c r="B10">
        <v>1.1365362132682797</v>
      </c>
      <c r="C10">
        <v>1.1367345090433423</v>
      </c>
      <c r="D10">
        <v>1.1367554041226966</v>
      </c>
      <c r="E10">
        <v>1.136776299970238</v>
      </c>
      <c r="F10">
        <v>1.1364945541221021</v>
      </c>
      <c r="G10">
        <v>1.1368180939700512</v>
      </c>
    </row>
    <row r="11" spans="1:7" x14ac:dyDescent="0.25">
      <c r="A11">
        <v>9</v>
      </c>
      <c r="B11">
        <v>1.1273175111956266</v>
      </c>
      <c r="C11">
        <v>1.1275141985488446</v>
      </c>
      <c r="D11">
        <v>1.1275349241434882</v>
      </c>
      <c r="E11">
        <v>1.1275556505000879</v>
      </c>
      <c r="F11">
        <v>1.1272761899561983</v>
      </c>
      <c r="G11">
        <v>1.1275971054993237</v>
      </c>
    </row>
    <row r="12" spans="1:7" x14ac:dyDescent="0.25">
      <c r="A12">
        <v>10</v>
      </c>
      <c r="B12">
        <v>1.1131209045344934</v>
      </c>
      <c r="C12">
        <v>1.1133151149520113</v>
      </c>
      <c r="D12">
        <v>1.1133355795437767</v>
      </c>
      <c r="E12">
        <v>1.1133560448879027</v>
      </c>
      <c r="F12">
        <v>1.1130801036643283</v>
      </c>
      <c r="G12">
        <v>1.1133969778334025</v>
      </c>
    </row>
    <row r="13" spans="1:7" x14ac:dyDescent="0.25">
      <c r="A13">
        <v>11</v>
      </c>
      <c r="B13">
        <v>1.0946103866561154</v>
      </c>
      <c r="C13">
        <v>1.0948013674735144</v>
      </c>
      <c r="D13">
        <v>1.0948214917516714</v>
      </c>
      <c r="E13">
        <v>1.0948416167696775</v>
      </c>
      <c r="F13">
        <v>1.0945702642793949</v>
      </c>
      <c r="G13">
        <v>1.094881869025401</v>
      </c>
    </row>
    <row r="14" spans="1:7" x14ac:dyDescent="0.25">
      <c r="A14">
        <v>12</v>
      </c>
      <c r="B14">
        <v>1.0732769574446022</v>
      </c>
      <c r="C14">
        <v>1.0734642161378569</v>
      </c>
      <c r="D14">
        <v>1.0734839482035257</v>
      </c>
      <c r="E14">
        <v>1.0735036809946241</v>
      </c>
      <c r="F14">
        <v>1.0732376170336788</v>
      </c>
      <c r="G14">
        <v>1.0735431487532712</v>
      </c>
    </row>
    <row r="15" spans="1:7" x14ac:dyDescent="0.25">
      <c r="A15">
        <v>13</v>
      </c>
      <c r="B15">
        <v>1.0507889350534803</v>
      </c>
      <c r="C15">
        <v>1.0509722701763482</v>
      </c>
      <c r="D15">
        <v>1.0509915888024741</v>
      </c>
      <c r="E15">
        <v>1.0510109081388301</v>
      </c>
      <c r="F15">
        <v>1.0507504189293688</v>
      </c>
      <c r="G15">
        <v>1.0510495489423899</v>
      </c>
    </row>
    <row r="16" spans="1:7" x14ac:dyDescent="0.25">
      <c r="A16">
        <v>14</v>
      </c>
      <c r="B16">
        <v>1.0286029783395365</v>
      </c>
      <c r="C16">
        <v>1.0287824425945602</v>
      </c>
      <c r="D16">
        <v>1.0288013533345837</v>
      </c>
      <c r="E16">
        <v>1.0288202647698419</v>
      </c>
      <c r="F16">
        <v>1.0285652754301764</v>
      </c>
      <c r="G16">
        <v>1.0288580897262163</v>
      </c>
    </row>
    <row r="17" spans="1:7" x14ac:dyDescent="0.25">
      <c r="A17">
        <v>15</v>
      </c>
      <c r="B17">
        <v>1.008131423360294</v>
      </c>
      <c r="C17">
        <v>1.008307315865633</v>
      </c>
      <c r="D17">
        <v>1.0083258502386208</v>
      </c>
      <c r="E17">
        <v>1.0083443852930063</v>
      </c>
      <c r="F17">
        <v>1.0080944708251776</v>
      </c>
      <c r="G17">
        <v>1.0083814574461218</v>
      </c>
    </row>
    <row r="18" spans="1:7" x14ac:dyDescent="0.25">
      <c r="A18">
        <v>16</v>
      </c>
      <c r="B18">
        <v>0.99037755164330699</v>
      </c>
      <c r="C18">
        <v>0.99055034656344687</v>
      </c>
      <c r="D18">
        <v>0.99056855453367321</v>
      </c>
      <c r="E18">
        <v>0.99058676317329752</v>
      </c>
      <c r="F18">
        <v>0.99034124986716177</v>
      </c>
      <c r="G18">
        <v>0.99062318246088832</v>
      </c>
    </row>
    <row r="19" spans="1:7" x14ac:dyDescent="0.25">
      <c r="A19">
        <v>17</v>
      </c>
      <c r="B19">
        <v>0.97554402767892567</v>
      </c>
      <c r="C19">
        <v>0.97571423453799266</v>
      </c>
      <c r="D19">
        <v>0.9757321697956941</v>
      </c>
      <c r="E19">
        <v>0.97575010571276766</v>
      </c>
      <c r="F19">
        <v>0.9755082696179177</v>
      </c>
      <c r="G19">
        <v>0.97578597952517643</v>
      </c>
    </row>
    <row r="20" spans="1:7" x14ac:dyDescent="0.25">
      <c r="A20">
        <v>18</v>
      </c>
      <c r="B20">
        <v>0.96347772837815704</v>
      </c>
      <c r="C20">
        <v>0.96364582998431259</v>
      </c>
      <c r="D20">
        <v>0.96366354340457627</v>
      </c>
      <c r="E20">
        <v>0.96368125747605649</v>
      </c>
      <c r="F20">
        <v>0.96344241260109964</v>
      </c>
      <c r="G20">
        <v>0.96371668757280993</v>
      </c>
    </row>
    <row r="21" spans="1:7" x14ac:dyDescent="0.25">
      <c r="A21">
        <v>19</v>
      </c>
      <c r="B21">
        <v>0.95377034337391065</v>
      </c>
      <c r="C21">
        <v>0.95393675129586075</v>
      </c>
      <c r="D21">
        <v>0.95395428624703782</v>
      </c>
      <c r="E21">
        <v>0.95397182184286999</v>
      </c>
      <c r="F21">
        <v>0.95373538341602215</v>
      </c>
      <c r="G21">
        <v>0.95400689496864244</v>
      </c>
    </row>
    <row r="22" spans="1:7" x14ac:dyDescent="0.25">
      <c r="A22">
        <v>20</v>
      </c>
      <c r="B22">
        <v>0.94582975429040583</v>
      </c>
      <c r="C22">
        <v>0.94599477678772248</v>
      </c>
      <c r="D22">
        <v>0.94601216575213976</v>
      </c>
      <c r="E22">
        <v>0.94602955535584532</v>
      </c>
      <c r="F22">
        <v>0.94579508539069701</v>
      </c>
      <c r="G22">
        <v>0.94606433648126187</v>
      </c>
    </row>
    <row r="23" spans="1:7" x14ac:dyDescent="0.25">
      <c r="A23">
        <v>21</v>
      </c>
      <c r="B23">
        <v>0.93926990096342389</v>
      </c>
      <c r="C23">
        <v>0.93943377893830071</v>
      </c>
      <c r="D23">
        <v>0.93945104730061646</v>
      </c>
      <c r="E23">
        <v>0.9394683162977866</v>
      </c>
      <c r="F23">
        <v>0.93923547251174078</v>
      </c>
      <c r="G23">
        <v>0.93950285619682994</v>
      </c>
    </row>
    <row r="24" spans="1:7" x14ac:dyDescent="0.25">
      <c r="A24">
        <v>22</v>
      </c>
      <c r="B24">
        <v>0.93386878210729185</v>
      </c>
      <c r="C24">
        <v>0.9340317177285179</v>
      </c>
      <c r="D24">
        <v>0.93404888679192377</v>
      </c>
      <c r="E24">
        <v>0.93406605648653329</v>
      </c>
      <c r="F24">
        <v>0.93383455163082274</v>
      </c>
      <c r="G24">
        <v>0.93410039776950282</v>
      </c>
    </row>
    <row r="25" spans="1:7" x14ac:dyDescent="0.25">
      <c r="A25">
        <v>23</v>
      </c>
      <c r="B25">
        <v>0.92959070916544917</v>
      </c>
      <c r="C25">
        <v>0.929752898375096</v>
      </c>
      <c r="D25">
        <v>0.92976998878665384</v>
      </c>
      <c r="E25">
        <v>0.92978707982652364</v>
      </c>
      <c r="F25">
        <v>0.92955663549952772</v>
      </c>
      <c r="G25">
        <v>0.92982126379133856</v>
      </c>
    </row>
    <row r="26" spans="1:7" x14ac:dyDescent="0.25">
      <c r="A26">
        <v>24</v>
      </c>
      <c r="B26">
        <v>0.9267019278372528</v>
      </c>
      <c r="C26">
        <v>0.92686361303028686</v>
      </c>
      <c r="D26">
        <v>0.92688065033195299</v>
      </c>
      <c r="E26">
        <v>0.92689768825997865</v>
      </c>
      <c r="F26">
        <v>0.92666796005811447</v>
      </c>
      <c r="G26">
        <v>0.92693176599524729</v>
      </c>
    </row>
    <row r="27" spans="1:7" x14ac:dyDescent="0.25">
      <c r="A27">
        <v>25</v>
      </c>
      <c r="B27">
        <v>0.92517102653139693</v>
      </c>
      <c r="C27">
        <v>0.92533244462228559</v>
      </c>
      <c r="D27">
        <v>0.9253494537785184</v>
      </c>
      <c r="E27">
        <v>0.9253664635600759</v>
      </c>
      <c r="F27">
        <v>0.92513711486665307</v>
      </c>
      <c r="G27">
        <v>0.92540048499930394</v>
      </c>
    </row>
    <row r="28" spans="1:7" x14ac:dyDescent="0.25">
      <c r="A28">
        <v>26</v>
      </c>
      <c r="B28">
        <v>0.92443102208204109</v>
      </c>
      <c r="C28">
        <v>0.92459231106155237</v>
      </c>
      <c r="D28">
        <v>0.92460930661289387</v>
      </c>
      <c r="E28">
        <v>0.92462630278905988</v>
      </c>
      <c r="F28">
        <v>0.92439713754177699</v>
      </c>
      <c r="G28">
        <v>0.92466029701600416</v>
      </c>
    </row>
    <row r="29" spans="1:7" x14ac:dyDescent="0.25">
      <c r="A29">
        <v>27</v>
      </c>
      <c r="B29">
        <v>0.92375188902243766</v>
      </c>
      <c r="C29">
        <v>0.92391305951103342</v>
      </c>
      <c r="D29">
        <v>0.9239300425765965</v>
      </c>
      <c r="E29">
        <v>0.92394702626652536</v>
      </c>
      <c r="F29">
        <v>0.92371802937544401</v>
      </c>
      <c r="G29">
        <v>0.92398099551961776</v>
      </c>
    </row>
    <row r="30" spans="1:7" x14ac:dyDescent="0.25">
      <c r="A30">
        <v>28</v>
      </c>
      <c r="B30">
        <v>0.92260036343982621</v>
      </c>
      <c r="C30">
        <v>0.92276133301739494</v>
      </c>
      <c r="D30">
        <v>0.92277829491230101</v>
      </c>
      <c r="E30">
        <v>0.92279525743079438</v>
      </c>
      <c r="F30">
        <v>0.92256654600140631</v>
      </c>
      <c r="G30">
        <v>0.922829184338681</v>
      </c>
    </row>
    <row r="31" spans="1:7" x14ac:dyDescent="0.25">
      <c r="A31">
        <v>29</v>
      </c>
      <c r="B31">
        <v>0.92081565084256189</v>
      </c>
      <c r="C31">
        <v>0.9209763090345684</v>
      </c>
      <c r="D31">
        <v>0.92099323811775158</v>
      </c>
      <c r="E31">
        <v>0.92101016782331568</v>
      </c>
      <c r="F31">
        <v>0.92078189882185779</v>
      </c>
      <c r="G31">
        <v>0.92104402910172467</v>
      </c>
    </row>
    <row r="32" spans="1:7" x14ac:dyDescent="0.25">
      <c r="A32">
        <v>30</v>
      </c>
      <c r="B32">
        <v>0.91834998706298898</v>
      </c>
      <c r="C32">
        <v>0.91851021506130293</v>
      </c>
      <c r="D32">
        <v>0.91852709881355887</v>
      </c>
      <c r="E32">
        <v>0.9185439831865293</v>
      </c>
      <c r="F32">
        <v>0.91831632541991348</v>
      </c>
      <c r="G32">
        <v>0.91857775379475082</v>
      </c>
    </row>
    <row r="33" spans="1:7" x14ac:dyDescent="0.25">
      <c r="A33">
        <v>31</v>
      </c>
      <c r="B33">
        <v>0.91549782649926226</v>
      </c>
      <c r="C33">
        <v>0.91565755687032691</v>
      </c>
      <c r="D33">
        <v>0.91567438818595959</v>
      </c>
      <c r="E33">
        <v>0.91569122012037885</v>
      </c>
      <c r="F33">
        <v>0.91546426940065484</v>
      </c>
      <c r="G33">
        <v>0.91572488584571443</v>
      </c>
    </row>
    <row r="34" spans="1:7" x14ac:dyDescent="0.25">
      <c r="A34">
        <v>32</v>
      </c>
      <c r="B34">
        <v>0.91297402244170056</v>
      </c>
      <c r="C34">
        <v>0.91313331247511842</v>
      </c>
      <c r="D34">
        <v>0.9131500973909219</v>
      </c>
      <c r="E34">
        <v>0.91316688292380632</v>
      </c>
      <c r="F34">
        <v>0.9129405578518236</v>
      </c>
      <c r="G34">
        <v>0.913200455840954</v>
      </c>
    </row>
    <row r="35" spans="1:7" x14ac:dyDescent="0.25">
      <c r="A35">
        <v>33</v>
      </c>
      <c r="B35">
        <v>0.91137275767386117</v>
      </c>
      <c r="C35">
        <v>0.91153176832855398</v>
      </c>
      <c r="D35">
        <v>0.91154852380530049</v>
      </c>
      <c r="E35">
        <v>0.91156527989804559</v>
      </c>
      <c r="F35">
        <v>0.91133935177751479</v>
      </c>
      <c r="G35">
        <v>0.91159879393166754</v>
      </c>
    </row>
    <row r="36" spans="1:7" x14ac:dyDescent="0.25">
      <c r="A36">
        <v>34</v>
      </c>
      <c r="B36">
        <v>0.91120985281660594</v>
      </c>
      <c r="C36">
        <v>0.91136883504867161</v>
      </c>
      <c r="D36">
        <v>0.91138558753043231</v>
      </c>
      <c r="E36">
        <v>0.91140234062808134</v>
      </c>
      <c r="F36">
        <v>0.91117645289145266</v>
      </c>
      <c r="G36">
        <v>0.91143584867118088</v>
      </c>
    </row>
    <row r="37" spans="1:7" x14ac:dyDescent="0.25">
      <c r="A37">
        <v>35</v>
      </c>
      <c r="B37">
        <v>0.91270700705219288</v>
      </c>
      <c r="C37">
        <v>0.91286625049842507</v>
      </c>
      <c r="D37">
        <v>0.91288303050518327</v>
      </c>
      <c r="E37">
        <v>0.91289981112884178</v>
      </c>
      <c r="F37">
        <v>0.91267355224962665</v>
      </c>
      <c r="G37">
        <v>0.9129333742269965</v>
      </c>
    </row>
    <row r="38" spans="1:7" x14ac:dyDescent="0.25">
      <c r="A38">
        <v>36</v>
      </c>
      <c r="B38">
        <v>0.91601817865051094</v>
      </c>
      <c r="C38">
        <v>0.91617799980938497</v>
      </c>
      <c r="D38">
        <v>0.91619484069162827</v>
      </c>
      <c r="E38">
        <v>0.91621168219300997</v>
      </c>
      <c r="F38">
        <v>0.91598460247866498</v>
      </c>
      <c r="G38">
        <v>0.91624536705332549</v>
      </c>
    </row>
    <row r="39" spans="1:7" x14ac:dyDescent="0.25">
      <c r="A39">
        <v>37</v>
      </c>
      <c r="B39">
        <v>0.92120829130446136</v>
      </c>
      <c r="C39">
        <v>0.92136901800193549</v>
      </c>
      <c r="D39">
        <v>0.92138595430376546</v>
      </c>
      <c r="E39">
        <v>0.92140289122824193</v>
      </c>
      <c r="F39">
        <v>0.92117452489172458</v>
      </c>
      <c r="G39">
        <v>0.92143676694527166</v>
      </c>
    </row>
    <row r="40" spans="1:7" x14ac:dyDescent="0.25">
      <c r="A40">
        <v>38</v>
      </c>
      <c r="B40">
        <v>0.92796470565026701</v>
      </c>
      <c r="C40">
        <v>0.9281266111649259</v>
      </c>
      <c r="D40">
        <v>0.92814367168260781</v>
      </c>
      <c r="E40">
        <v>0.92816073282750278</v>
      </c>
      <c r="F40">
        <v>0.92793069158466213</v>
      </c>
      <c r="G40">
        <v>0.92819485699907056</v>
      </c>
    </row>
    <row r="41" spans="1:7" x14ac:dyDescent="0.25">
      <c r="A41">
        <v>39</v>
      </c>
      <c r="B41">
        <v>0.93587124016994649</v>
      </c>
      <c r="C41">
        <v>0.93603452516761021</v>
      </c>
      <c r="D41">
        <v>0.93605173104596284</v>
      </c>
      <c r="E41">
        <v>0.93606893755687248</v>
      </c>
      <c r="F41">
        <v>0.93583693629441433</v>
      </c>
      <c r="G41">
        <v>0.93610335247650311</v>
      </c>
    </row>
    <row r="42" spans="1:7" x14ac:dyDescent="0.25">
      <c r="A42">
        <v>40</v>
      </c>
      <c r="B42">
        <v>0.94440377067522574</v>
      </c>
      <c r="C42">
        <v>0.94456854437578341</v>
      </c>
      <c r="D42">
        <v>0.94458590712366641</v>
      </c>
      <c r="E42">
        <v>0.94460327050987358</v>
      </c>
      <c r="F42">
        <v>0.94436915404420763</v>
      </c>
      <c r="G42">
        <v>0.94463799919740188</v>
      </c>
    </row>
    <row r="43" spans="1:7" x14ac:dyDescent="0.25">
      <c r="A43">
        <v>41</v>
      </c>
      <c r="B43">
        <v>0.95311502072584631</v>
      </c>
      <c r="C43">
        <v>0.95328131431117358</v>
      </c>
      <c r="D43">
        <v>0.95329883721432385</v>
      </c>
      <c r="E43">
        <v>0.95331636076168624</v>
      </c>
      <c r="F43">
        <v>0.95308008478847006</v>
      </c>
      <c r="G43">
        <v>0.95335140978919042</v>
      </c>
    </row>
    <row r="44" spans="1:7" x14ac:dyDescent="0.25">
      <c r="A44">
        <v>42</v>
      </c>
      <c r="B44">
        <v>0.96172849176776065</v>
      </c>
      <c r="C44">
        <v>0.96189628817798367</v>
      </c>
      <c r="D44">
        <v>0.96191396943874619</v>
      </c>
      <c r="E44">
        <v>0.96193165134954273</v>
      </c>
      <c r="F44">
        <v>0.96169324010806512</v>
      </c>
      <c r="G44">
        <v>0.96196701712138188</v>
      </c>
    </row>
    <row r="45" spans="1:7" x14ac:dyDescent="0.25">
      <c r="A45">
        <v>43</v>
      </c>
      <c r="B45">
        <v>0.97067554290606672</v>
      </c>
      <c r="C45">
        <v>0.97084490034216764</v>
      </c>
      <c r="D45">
        <v>0.97086274609337164</v>
      </c>
      <c r="E45">
        <v>0.97088059250065706</v>
      </c>
      <c r="F45">
        <v>0.97063996329684621</v>
      </c>
      <c r="G45">
        <v>0.97091628728361712</v>
      </c>
    </row>
    <row r="46" spans="1:7" x14ac:dyDescent="0.25">
      <c r="A46">
        <v>44</v>
      </c>
      <c r="B46">
        <v>0.98049820461119586</v>
      </c>
      <c r="C46">
        <v>0.98066927584426433</v>
      </c>
      <c r="D46">
        <v>0.9806873021839031</v>
      </c>
      <c r="E46">
        <v>0.98070532918626241</v>
      </c>
      <c r="F46">
        <v>0.98046226495739863</v>
      </c>
      <c r="G46">
        <v>0.98074138517928933</v>
      </c>
    </row>
    <row r="47" spans="1:7" x14ac:dyDescent="0.25">
      <c r="A47">
        <v>45</v>
      </c>
      <c r="B47">
        <v>0.99151577081780207</v>
      </c>
      <c r="C47">
        <v>0.99168876432734954</v>
      </c>
      <c r="D47">
        <v>0.99170699322359634</v>
      </c>
      <c r="E47">
        <v>0.99172522279001041</v>
      </c>
      <c r="F47">
        <v>0.99147942732082261</v>
      </c>
      <c r="G47">
        <v>0.99176168393348885</v>
      </c>
    </row>
    <row r="48" spans="1:7" x14ac:dyDescent="0.25">
      <c r="A48">
        <v>46</v>
      </c>
      <c r="B48">
        <v>1.003585875556064</v>
      </c>
      <c r="C48">
        <v>1.0037609749824723</v>
      </c>
      <c r="D48">
        <v>1.003779425786119</v>
      </c>
      <c r="E48">
        <v>1.0037978772680916</v>
      </c>
      <c r="F48">
        <v>1.0035490896356476</v>
      </c>
      <c r="G48">
        <v>1.0038347822671632</v>
      </c>
    </row>
    <row r="49" spans="1:7" x14ac:dyDescent="0.25">
      <c r="A49">
        <v>47</v>
      </c>
      <c r="B49">
        <v>1.0163963806309357</v>
      </c>
      <c r="C49">
        <v>1.0165737151546537</v>
      </c>
      <c r="D49">
        <v>1.0165924014778704</v>
      </c>
      <c r="E49">
        <v>1.0166110884880715</v>
      </c>
      <c r="F49">
        <v>1.0163591251480917</v>
      </c>
      <c r="G49">
        <v>1.0166484645695779</v>
      </c>
    </row>
    <row r="50" spans="1:7" x14ac:dyDescent="0.25">
      <c r="A50">
        <v>48</v>
      </c>
      <c r="B50">
        <v>1.0297588437465079</v>
      </c>
      <c r="C50">
        <v>1.0299385096697442</v>
      </c>
      <c r="D50">
        <v>1.029957441660212</v>
      </c>
      <c r="E50">
        <v>1.0299763743466956</v>
      </c>
      <c r="F50">
        <v>1.0297210984694998</v>
      </c>
      <c r="G50">
        <v>1.0300142418078648</v>
      </c>
    </row>
    <row r="51" spans="1:7" x14ac:dyDescent="0.25">
      <c r="A51">
        <v>49</v>
      </c>
      <c r="B51">
        <v>1.0434988493285744</v>
      </c>
      <c r="C51">
        <v>1.0436809125225921</v>
      </c>
      <c r="D51">
        <v>1.043700097121383</v>
      </c>
      <c r="E51">
        <v>1.0437192824254768</v>
      </c>
      <c r="F51">
        <v>1.043460600418779</v>
      </c>
      <c r="G51">
        <v>1.0437576551497285</v>
      </c>
    </row>
    <row r="52" spans="1:7" x14ac:dyDescent="0.25">
      <c r="A52">
        <v>50</v>
      </c>
      <c r="B52">
        <v>1.0572282751413644</v>
      </c>
      <c r="C52">
        <v>1.0574127337602712</v>
      </c>
      <c r="D52">
        <v>1.0574321707728775</v>
      </c>
      <c r="E52">
        <v>1.0574516085000663</v>
      </c>
      <c r="F52">
        <v>1.0571895229865775</v>
      </c>
      <c r="G52">
        <v>1.0574904860983496</v>
      </c>
    </row>
    <row r="53" spans="1:7" x14ac:dyDescent="0.25">
      <c r="A53">
        <v>51</v>
      </c>
      <c r="B53">
        <v>1.0705639956503372</v>
      </c>
      <c r="C53">
        <v>1.0707507810028789</v>
      </c>
      <c r="D53">
        <v>1.0707704631910766</v>
      </c>
      <c r="E53">
        <v>1.0707901461028704</v>
      </c>
      <c r="F53">
        <v>1.070524754681623</v>
      </c>
      <c r="G53">
        <v>1.0708295140974067</v>
      </c>
    </row>
    <row r="54" spans="1:7" x14ac:dyDescent="0.25">
      <c r="A54">
        <v>52</v>
      </c>
      <c r="B54">
        <v>1.0837958707649131</v>
      </c>
      <c r="C54">
        <v>1.0839849647327904</v>
      </c>
      <c r="D54">
        <v>1.0840048901873947</v>
      </c>
      <c r="E54">
        <v>1.0840248163745385</v>
      </c>
      <c r="F54">
        <v>1.0837561447886708</v>
      </c>
      <c r="G54">
        <v>1.0840646709466071</v>
      </c>
    </row>
    <row r="55" spans="1:7" x14ac:dyDescent="0.25">
      <c r="A55">
        <v>53</v>
      </c>
      <c r="B55">
        <v>1.0905038868507662</v>
      </c>
      <c r="F55">
        <v>1.0904639149956687</v>
      </c>
      <c r="G55">
        <v>1.0907743507368453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0FFF-8927-4B1C-8505-A05558C323E8}">
  <dimension ref="A1:G55"/>
  <sheetViews>
    <sheetView workbookViewId="0">
      <selection activeCell="F1" sqref="F1:G1048576"/>
    </sheetView>
  </sheetViews>
  <sheetFormatPr defaultRowHeight="15" x14ac:dyDescent="0.25"/>
  <sheetData>
    <row r="1" spans="1:7" x14ac:dyDescent="0.25">
      <c r="A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5">
      <c r="A2">
        <v>0</v>
      </c>
      <c r="C2">
        <v>3</v>
      </c>
      <c r="D2">
        <v>2</v>
      </c>
      <c r="E2">
        <v>1</v>
      </c>
    </row>
    <row r="3" spans="1:7" x14ac:dyDescent="0.25">
      <c r="A3">
        <f>A2+1</f>
        <v>1</v>
      </c>
      <c r="B3">
        <v>5</v>
      </c>
      <c r="C3">
        <v>7</v>
      </c>
      <c r="D3">
        <v>7</v>
      </c>
      <c r="E3">
        <v>7</v>
      </c>
      <c r="F3">
        <v>7</v>
      </c>
      <c r="G3">
        <v>5</v>
      </c>
    </row>
    <row r="4" spans="1:7" x14ac:dyDescent="0.25">
      <c r="A4">
        <f t="shared" ref="A4:A55" si="0">A3+1</f>
        <v>2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</row>
    <row r="5" spans="1:7" x14ac:dyDescent="0.25">
      <c r="A5">
        <f t="shared" si="0"/>
        <v>3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</row>
    <row r="6" spans="1:7" x14ac:dyDescent="0.25">
      <c r="A6">
        <f t="shared" si="0"/>
        <v>4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</row>
    <row r="7" spans="1:7" x14ac:dyDescent="0.25">
      <c r="A7">
        <f t="shared" si="0"/>
        <v>5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f t="shared" si="0"/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</row>
    <row r="9" spans="1:7" x14ac:dyDescent="0.25">
      <c r="A9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</row>
    <row r="10" spans="1:7" x14ac:dyDescent="0.25">
      <c r="A10">
        <f t="shared" si="0"/>
        <v>8</v>
      </c>
      <c r="B10">
        <v>7</v>
      </c>
      <c r="C10">
        <v>7</v>
      </c>
      <c r="D10">
        <v>7</v>
      </c>
      <c r="E10">
        <v>7</v>
      </c>
      <c r="F10">
        <v>7</v>
      </c>
      <c r="G10">
        <v>7</v>
      </c>
    </row>
    <row r="11" spans="1:7" x14ac:dyDescent="0.25">
      <c r="A11">
        <f t="shared" si="0"/>
        <v>9</v>
      </c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 x14ac:dyDescent="0.25">
      <c r="A12">
        <f t="shared" si="0"/>
        <v>10</v>
      </c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</row>
    <row r="13" spans="1:7" x14ac:dyDescent="0.25">
      <c r="A13">
        <f t="shared" si="0"/>
        <v>11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 x14ac:dyDescent="0.25">
      <c r="A14">
        <f t="shared" si="0"/>
        <v>12</v>
      </c>
      <c r="B14">
        <v>7</v>
      </c>
      <c r="C14">
        <v>7</v>
      </c>
      <c r="D14">
        <v>7</v>
      </c>
      <c r="E14">
        <v>7</v>
      </c>
      <c r="F14">
        <v>7</v>
      </c>
      <c r="G14">
        <v>7</v>
      </c>
    </row>
    <row r="15" spans="1:7" x14ac:dyDescent="0.25">
      <c r="A15">
        <f t="shared" si="0"/>
        <v>13</v>
      </c>
      <c r="B15">
        <v>7</v>
      </c>
      <c r="C15">
        <v>7</v>
      </c>
      <c r="D15">
        <v>7</v>
      </c>
      <c r="E15">
        <v>7</v>
      </c>
      <c r="F15">
        <v>7</v>
      </c>
      <c r="G15">
        <v>7</v>
      </c>
    </row>
    <row r="16" spans="1:7" x14ac:dyDescent="0.25">
      <c r="A16">
        <f t="shared" si="0"/>
        <v>14</v>
      </c>
      <c r="B16">
        <v>7</v>
      </c>
      <c r="C16">
        <v>7</v>
      </c>
      <c r="D16">
        <v>7</v>
      </c>
      <c r="E16">
        <v>7</v>
      </c>
      <c r="F16">
        <v>7</v>
      </c>
      <c r="G16">
        <v>7</v>
      </c>
    </row>
    <row r="17" spans="1:7" x14ac:dyDescent="0.25">
      <c r="A17">
        <f t="shared" si="0"/>
        <v>15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</row>
    <row r="18" spans="1:7" x14ac:dyDescent="0.25">
      <c r="A18">
        <f t="shared" si="0"/>
        <v>16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</row>
    <row r="19" spans="1:7" x14ac:dyDescent="0.25">
      <c r="A19">
        <f t="shared" si="0"/>
        <v>17</v>
      </c>
      <c r="B19">
        <v>7</v>
      </c>
      <c r="C19">
        <v>7</v>
      </c>
      <c r="D19">
        <v>7</v>
      </c>
      <c r="E19">
        <v>7</v>
      </c>
      <c r="F19">
        <v>7</v>
      </c>
      <c r="G19">
        <v>7</v>
      </c>
    </row>
    <row r="20" spans="1:7" x14ac:dyDescent="0.25">
      <c r="A20">
        <f t="shared" si="0"/>
        <v>18</v>
      </c>
      <c r="B20">
        <v>7</v>
      </c>
      <c r="C20">
        <v>7</v>
      </c>
      <c r="D20">
        <v>7</v>
      </c>
      <c r="E20">
        <v>7</v>
      </c>
      <c r="F20">
        <v>7</v>
      </c>
      <c r="G20">
        <v>7</v>
      </c>
    </row>
    <row r="21" spans="1:7" x14ac:dyDescent="0.25">
      <c r="A21">
        <f t="shared" si="0"/>
        <v>19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</row>
    <row r="22" spans="1:7" x14ac:dyDescent="0.25">
      <c r="A22">
        <f t="shared" si="0"/>
        <v>20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</row>
    <row r="23" spans="1:7" x14ac:dyDescent="0.25">
      <c r="A23">
        <f t="shared" si="0"/>
        <v>21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</row>
    <row r="24" spans="1:7" x14ac:dyDescent="0.25">
      <c r="A24">
        <f t="shared" si="0"/>
        <v>22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</row>
    <row r="25" spans="1:7" x14ac:dyDescent="0.25">
      <c r="A25">
        <f t="shared" si="0"/>
        <v>23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</row>
    <row r="26" spans="1:7" x14ac:dyDescent="0.25">
      <c r="A26">
        <f t="shared" si="0"/>
        <v>24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</row>
    <row r="27" spans="1:7" x14ac:dyDescent="0.25">
      <c r="A27">
        <f t="shared" si="0"/>
        <v>25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</row>
    <row r="28" spans="1:7" x14ac:dyDescent="0.25">
      <c r="A28">
        <f t="shared" si="0"/>
        <v>26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</row>
    <row r="29" spans="1:7" x14ac:dyDescent="0.25">
      <c r="A29">
        <f t="shared" si="0"/>
        <v>27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 x14ac:dyDescent="0.25">
      <c r="A30">
        <f t="shared" si="0"/>
        <v>28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</row>
    <row r="31" spans="1:7" x14ac:dyDescent="0.25">
      <c r="A31">
        <f t="shared" si="0"/>
        <v>29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</row>
    <row r="32" spans="1:7" x14ac:dyDescent="0.25">
      <c r="A32">
        <f t="shared" si="0"/>
        <v>30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</row>
    <row r="33" spans="1:7" x14ac:dyDescent="0.25">
      <c r="A33">
        <f t="shared" si="0"/>
        <v>31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</row>
    <row r="34" spans="1:7" x14ac:dyDescent="0.25">
      <c r="A34">
        <f t="shared" si="0"/>
        <v>32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</row>
    <row r="35" spans="1:7" x14ac:dyDescent="0.25">
      <c r="A35">
        <f t="shared" si="0"/>
        <v>33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</row>
    <row r="36" spans="1:7" x14ac:dyDescent="0.25">
      <c r="A36">
        <f t="shared" si="0"/>
        <v>34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</row>
    <row r="37" spans="1:7" x14ac:dyDescent="0.25">
      <c r="A37">
        <f t="shared" si="0"/>
        <v>35</v>
      </c>
      <c r="B37">
        <v>7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 x14ac:dyDescent="0.25">
      <c r="A38">
        <f t="shared" si="0"/>
        <v>36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</row>
    <row r="39" spans="1:7" x14ac:dyDescent="0.25">
      <c r="A39">
        <f t="shared" si="0"/>
        <v>37</v>
      </c>
      <c r="B39">
        <v>7</v>
      </c>
      <c r="C39">
        <v>7</v>
      </c>
      <c r="D39">
        <v>7</v>
      </c>
      <c r="E39">
        <v>7</v>
      </c>
      <c r="F39">
        <v>7</v>
      </c>
      <c r="G39">
        <v>7</v>
      </c>
    </row>
    <row r="40" spans="1:7" x14ac:dyDescent="0.25">
      <c r="A40">
        <f t="shared" si="0"/>
        <v>38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</row>
    <row r="41" spans="1:7" x14ac:dyDescent="0.25">
      <c r="A41">
        <f t="shared" si="0"/>
        <v>39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</row>
    <row r="42" spans="1:7" x14ac:dyDescent="0.25">
      <c r="A42">
        <f t="shared" si="0"/>
        <v>40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</row>
    <row r="43" spans="1:7" x14ac:dyDescent="0.25">
      <c r="A43">
        <f t="shared" si="0"/>
        <v>41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</row>
    <row r="44" spans="1:7" x14ac:dyDescent="0.25">
      <c r="A44">
        <f t="shared" si="0"/>
        <v>42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</row>
    <row r="45" spans="1:7" x14ac:dyDescent="0.25">
      <c r="A45">
        <f t="shared" si="0"/>
        <v>43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</row>
    <row r="46" spans="1:7" x14ac:dyDescent="0.25">
      <c r="A46">
        <f t="shared" si="0"/>
        <v>44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</row>
    <row r="47" spans="1:7" x14ac:dyDescent="0.25">
      <c r="A47">
        <f t="shared" si="0"/>
        <v>45</v>
      </c>
      <c r="B47">
        <v>7</v>
      </c>
      <c r="C47">
        <v>7</v>
      </c>
      <c r="D47">
        <v>7</v>
      </c>
      <c r="E47">
        <v>7</v>
      </c>
      <c r="F47">
        <v>7</v>
      </c>
      <c r="G47">
        <v>7</v>
      </c>
    </row>
    <row r="48" spans="1:7" x14ac:dyDescent="0.25">
      <c r="A48">
        <f t="shared" si="0"/>
        <v>46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</row>
    <row r="49" spans="1:7" x14ac:dyDescent="0.25">
      <c r="A49">
        <f t="shared" si="0"/>
        <v>47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</row>
    <row r="50" spans="1:7" x14ac:dyDescent="0.25">
      <c r="A50">
        <f t="shared" si="0"/>
        <v>48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</row>
    <row r="51" spans="1:7" x14ac:dyDescent="0.25">
      <c r="A51">
        <f t="shared" si="0"/>
        <v>49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</row>
    <row r="52" spans="1:7" x14ac:dyDescent="0.25">
      <c r="A52">
        <f t="shared" si="0"/>
        <v>50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</row>
    <row r="53" spans="1:7" x14ac:dyDescent="0.25">
      <c r="A53">
        <f t="shared" si="0"/>
        <v>51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</row>
    <row r="54" spans="1:7" x14ac:dyDescent="0.25">
      <c r="A54">
        <f t="shared" si="0"/>
        <v>52</v>
      </c>
      <c r="B54">
        <v>7</v>
      </c>
      <c r="C54">
        <v>5</v>
      </c>
      <c r="D54">
        <v>6</v>
      </c>
      <c r="E54">
        <v>7</v>
      </c>
      <c r="F54">
        <v>7</v>
      </c>
      <c r="G54">
        <v>7</v>
      </c>
    </row>
    <row r="55" spans="1:7" x14ac:dyDescent="0.25">
      <c r="A55">
        <f t="shared" si="0"/>
        <v>53</v>
      </c>
      <c r="B55">
        <v>4</v>
      </c>
      <c r="F55">
        <v>2</v>
      </c>
      <c r="G5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CF27-116A-427A-A7DC-0762992A34A1}">
  <dimension ref="A1:G55"/>
  <sheetViews>
    <sheetView workbookViewId="0">
      <selection activeCell="R14" sqref="R14"/>
    </sheetView>
  </sheetViews>
  <sheetFormatPr defaultRowHeight="15" x14ac:dyDescent="0.25"/>
  <sheetData>
    <row r="1" spans="1:7" x14ac:dyDescent="0.25">
      <c r="A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5">
      <c r="A2">
        <v>0</v>
      </c>
      <c r="C2">
        <f>Dagen_per_week!C2/SUM(Dagen_per_week!C$2:C$55)</f>
        <v>8.21917808219178E-3</v>
      </c>
      <c r="D2">
        <f>Dagen_per_week!D2/SUM(Dagen_per_week!D$2:D$55)</f>
        <v>5.4794520547945206E-3</v>
      </c>
      <c r="E2">
        <f>Dagen_per_week!E2/SUM(Dagen_per_week!E$2:E$55)</f>
        <v>2.7397260273972603E-3</v>
      </c>
    </row>
    <row r="3" spans="1:7" x14ac:dyDescent="0.25">
      <c r="A3">
        <f>A2+1</f>
        <v>1</v>
      </c>
      <c r="B3">
        <f>Dagen_per_week!B3/SUM(Dagen_per_week!B$2:B$55)</f>
        <v>1.3661202185792349E-2</v>
      </c>
      <c r="C3">
        <f>Dagen_per_week!C3/SUM(Dagen_per_week!C$2:C$55)</f>
        <v>1.9178082191780823E-2</v>
      </c>
      <c r="D3">
        <f>Dagen_per_week!D3/SUM(Dagen_per_week!D$2:D$55)</f>
        <v>1.9178082191780823E-2</v>
      </c>
      <c r="E3">
        <f>Dagen_per_week!E3/SUM(Dagen_per_week!E$2:E$55)</f>
        <v>1.9178082191780823E-2</v>
      </c>
      <c r="F3">
        <f>Dagen_per_week!F3/SUM(Dagen_per_week!F$2:F$55)</f>
        <v>1.912568306010929E-2</v>
      </c>
      <c r="G3">
        <f>Dagen_per_week!G3/SUM(Dagen_per_week!G$2:G$55)</f>
        <v>1.3698630136986301E-2</v>
      </c>
    </row>
    <row r="4" spans="1:7" x14ac:dyDescent="0.25">
      <c r="A4">
        <f t="shared" ref="A4:A55" si="0">A3+1</f>
        <v>2</v>
      </c>
      <c r="B4">
        <f>Dagen_per_week!B4/SUM(Dagen_per_week!B$2:B$55)</f>
        <v>1.912568306010929E-2</v>
      </c>
      <c r="C4">
        <f>Dagen_per_week!C4/SUM(Dagen_per_week!C$2:C$55)</f>
        <v>1.9178082191780823E-2</v>
      </c>
      <c r="D4">
        <f>Dagen_per_week!D4/SUM(Dagen_per_week!D$2:D$55)</f>
        <v>1.9178082191780823E-2</v>
      </c>
      <c r="E4">
        <f>Dagen_per_week!E4/SUM(Dagen_per_week!E$2:E$55)</f>
        <v>1.9178082191780823E-2</v>
      </c>
      <c r="F4">
        <f>Dagen_per_week!F4/SUM(Dagen_per_week!F$2:F$55)</f>
        <v>1.912568306010929E-2</v>
      </c>
      <c r="G4">
        <f>Dagen_per_week!G4/SUM(Dagen_per_week!G$2:G$55)</f>
        <v>1.9178082191780823E-2</v>
      </c>
    </row>
    <row r="5" spans="1:7" x14ac:dyDescent="0.25">
      <c r="A5">
        <f t="shared" si="0"/>
        <v>3</v>
      </c>
      <c r="B5">
        <f>Dagen_per_week!B5/SUM(Dagen_per_week!B$2:B$55)</f>
        <v>1.912568306010929E-2</v>
      </c>
      <c r="C5">
        <f>Dagen_per_week!C5/SUM(Dagen_per_week!C$2:C$55)</f>
        <v>1.9178082191780823E-2</v>
      </c>
      <c r="D5">
        <f>Dagen_per_week!D5/SUM(Dagen_per_week!D$2:D$55)</f>
        <v>1.9178082191780823E-2</v>
      </c>
      <c r="E5">
        <f>Dagen_per_week!E5/SUM(Dagen_per_week!E$2:E$55)</f>
        <v>1.9178082191780823E-2</v>
      </c>
      <c r="F5">
        <f>Dagen_per_week!F5/SUM(Dagen_per_week!F$2:F$55)</f>
        <v>1.912568306010929E-2</v>
      </c>
      <c r="G5">
        <f>Dagen_per_week!G5/SUM(Dagen_per_week!G$2:G$55)</f>
        <v>1.9178082191780823E-2</v>
      </c>
    </row>
    <row r="6" spans="1:7" x14ac:dyDescent="0.25">
      <c r="A6">
        <f t="shared" si="0"/>
        <v>4</v>
      </c>
      <c r="B6">
        <f>Dagen_per_week!B6/SUM(Dagen_per_week!B$2:B$55)</f>
        <v>1.912568306010929E-2</v>
      </c>
      <c r="C6">
        <f>Dagen_per_week!C6/SUM(Dagen_per_week!C$2:C$55)</f>
        <v>1.9178082191780823E-2</v>
      </c>
      <c r="D6">
        <f>Dagen_per_week!D6/SUM(Dagen_per_week!D$2:D$55)</f>
        <v>1.9178082191780823E-2</v>
      </c>
      <c r="E6">
        <f>Dagen_per_week!E6/SUM(Dagen_per_week!E$2:E$55)</f>
        <v>1.9178082191780823E-2</v>
      </c>
      <c r="F6">
        <f>Dagen_per_week!F6/SUM(Dagen_per_week!F$2:F$55)</f>
        <v>1.912568306010929E-2</v>
      </c>
      <c r="G6">
        <f>Dagen_per_week!G6/SUM(Dagen_per_week!G$2:G$55)</f>
        <v>1.9178082191780823E-2</v>
      </c>
    </row>
    <row r="7" spans="1:7" x14ac:dyDescent="0.25">
      <c r="A7">
        <f t="shared" si="0"/>
        <v>5</v>
      </c>
      <c r="B7">
        <f>Dagen_per_week!B7/SUM(Dagen_per_week!B$2:B$55)</f>
        <v>1.912568306010929E-2</v>
      </c>
      <c r="C7">
        <f>Dagen_per_week!C7/SUM(Dagen_per_week!C$2:C$55)</f>
        <v>1.9178082191780823E-2</v>
      </c>
      <c r="D7">
        <f>Dagen_per_week!D7/SUM(Dagen_per_week!D$2:D$55)</f>
        <v>1.9178082191780823E-2</v>
      </c>
      <c r="E7">
        <f>Dagen_per_week!E7/SUM(Dagen_per_week!E$2:E$55)</f>
        <v>1.9178082191780823E-2</v>
      </c>
      <c r="F7">
        <f>Dagen_per_week!F7/SUM(Dagen_per_week!F$2:F$55)</f>
        <v>1.912568306010929E-2</v>
      </c>
      <c r="G7">
        <f>Dagen_per_week!G7/SUM(Dagen_per_week!G$2:G$55)</f>
        <v>1.9178082191780823E-2</v>
      </c>
    </row>
    <row r="8" spans="1:7" x14ac:dyDescent="0.25">
      <c r="A8">
        <f t="shared" si="0"/>
        <v>6</v>
      </c>
      <c r="B8">
        <f>Dagen_per_week!B8/SUM(Dagen_per_week!B$2:B$55)</f>
        <v>1.912568306010929E-2</v>
      </c>
      <c r="C8">
        <f>Dagen_per_week!C8/SUM(Dagen_per_week!C$2:C$55)</f>
        <v>1.9178082191780823E-2</v>
      </c>
      <c r="D8">
        <f>Dagen_per_week!D8/SUM(Dagen_per_week!D$2:D$55)</f>
        <v>1.9178082191780823E-2</v>
      </c>
      <c r="E8">
        <f>Dagen_per_week!E8/SUM(Dagen_per_week!E$2:E$55)</f>
        <v>1.9178082191780823E-2</v>
      </c>
      <c r="F8">
        <f>Dagen_per_week!F8/SUM(Dagen_per_week!F$2:F$55)</f>
        <v>1.912568306010929E-2</v>
      </c>
      <c r="G8">
        <f>Dagen_per_week!G8/SUM(Dagen_per_week!G$2:G$55)</f>
        <v>1.9178082191780823E-2</v>
      </c>
    </row>
    <row r="9" spans="1:7" x14ac:dyDescent="0.25">
      <c r="A9">
        <f t="shared" si="0"/>
        <v>7</v>
      </c>
      <c r="B9">
        <f>Dagen_per_week!B9/SUM(Dagen_per_week!B$2:B$55)</f>
        <v>1.912568306010929E-2</v>
      </c>
      <c r="C9">
        <f>Dagen_per_week!C9/SUM(Dagen_per_week!C$2:C$55)</f>
        <v>1.9178082191780823E-2</v>
      </c>
      <c r="D9">
        <f>Dagen_per_week!D9/SUM(Dagen_per_week!D$2:D$55)</f>
        <v>1.9178082191780823E-2</v>
      </c>
      <c r="E9">
        <f>Dagen_per_week!E9/SUM(Dagen_per_week!E$2:E$55)</f>
        <v>1.9178082191780823E-2</v>
      </c>
      <c r="F9">
        <f>Dagen_per_week!F9/SUM(Dagen_per_week!F$2:F$55)</f>
        <v>1.912568306010929E-2</v>
      </c>
      <c r="G9">
        <f>Dagen_per_week!G9/SUM(Dagen_per_week!G$2:G$55)</f>
        <v>1.9178082191780823E-2</v>
      </c>
    </row>
    <row r="10" spans="1:7" x14ac:dyDescent="0.25">
      <c r="A10">
        <f t="shared" si="0"/>
        <v>8</v>
      </c>
      <c r="B10">
        <f>Dagen_per_week!B10/SUM(Dagen_per_week!B$2:B$55)</f>
        <v>1.912568306010929E-2</v>
      </c>
      <c r="C10">
        <f>Dagen_per_week!C10/SUM(Dagen_per_week!C$2:C$55)</f>
        <v>1.9178082191780823E-2</v>
      </c>
      <c r="D10">
        <f>Dagen_per_week!D10/SUM(Dagen_per_week!D$2:D$55)</f>
        <v>1.9178082191780823E-2</v>
      </c>
      <c r="E10">
        <f>Dagen_per_week!E10/SUM(Dagen_per_week!E$2:E$55)</f>
        <v>1.9178082191780823E-2</v>
      </c>
      <c r="F10">
        <f>Dagen_per_week!F10/SUM(Dagen_per_week!F$2:F$55)</f>
        <v>1.912568306010929E-2</v>
      </c>
      <c r="G10">
        <f>Dagen_per_week!G10/SUM(Dagen_per_week!G$2:G$55)</f>
        <v>1.9178082191780823E-2</v>
      </c>
    </row>
    <row r="11" spans="1:7" x14ac:dyDescent="0.25">
      <c r="A11">
        <f t="shared" si="0"/>
        <v>9</v>
      </c>
      <c r="B11">
        <f>Dagen_per_week!B11/SUM(Dagen_per_week!B$2:B$55)</f>
        <v>1.912568306010929E-2</v>
      </c>
      <c r="C11">
        <f>Dagen_per_week!C11/SUM(Dagen_per_week!C$2:C$55)</f>
        <v>1.9178082191780823E-2</v>
      </c>
      <c r="D11">
        <f>Dagen_per_week!D11/SUM(Dagen_per_week!D$2:D$55)</f>
        <v>1.9178082191780823E-2</v>
      </c>
      <c r="E11">
        <f>Dagen_per_week!E11/SUM(Dagen_per_week!E$2:E$55)</f>
        <v>1.9178082191780823E-2</v>
      </c>
      <c r="F11">
        <f>Dagen_per_week!F11/SUM(Dagen_per_week!F$2:F$55)</f>
        <v>1.912568306010929E-2</v>
      </c>
      <c r="G11">
        <f>Dagen_per_week!G11/SUM(Dagen_per_week!G$2:G$55)</f>
        <v>1.9178082191780823E-2</v>
      </c>
    </row>
    <row r="12" spans="1:7" x14ac:dyDescent="0.25">
      <c r="A12">
        <f t="shared" si="0"/>
        <v>10</v>
      </c>
      <c r="B12">
        <f>Dagen_per_week!B12/SUM(Dagen_per_week!B$2:B$55)</f>
        <v>1.912568306010929E-2</v>
      </c>
      <c r="C12">
        <f>Dagen_per_week!C12/SUM(Dagen_per_week!C$2:C$55)</f>
        <v>1.9178082191780823E-2</v>
      </c>
      <c r="D12">
        <f>Dagen_per_week!D12/SUM(Dagen_per_week!D$2:D$55)</f>
        <v>1.9178082191780823E-2</v>
      </c>
      <c r="E12">
        <f>Dagen_per_week!E12/SUM(Dagen_per_week!E$2:E$55)</f>
        <v>1.9178082191780823E-2</v>
      </c>
      <c r="F12">
        <f>Dagen_per_week!F12/SUM(Dagen_per_week!F$2:F$55)</f>
        <v>1.912568306010929E-2</v>
      </c>
      <c r="G12">
        <f>Dagen_per_week!G12/SUM(Dagen_per_week!G$2:G$55)</f>
        <v>1.9178082191780823E-2</v>
      </c>
    </row>
    <row r="13" spans="1:7" x14ac:dyDescent="0.25">
      <c r="A13">
        <f t="shared" si="0"/>
        <v>11</v>
      </c>
      <c r="B13">
        <f>Dagen_per_week!B13/SUM(Dagen_per_week!B$2:B$55)</f>
        <v>1.912568306010929E-2</v>
      </c>
      <c r="C13">
        <f>Dagen_per_week!C13/SUM(Dagen_per_week!C$2:C$55)</f>
        <v>1.9178082191780823E-2</v>
      </c>
      <c r="D13">
        <f>Dagen_per_week!D13/SUM(Dagen_per_week!D$2:D$55)</f>
        <v>1.9178082191780823E-2</v>
      </c>
      <c r="E13">
        <f>Dagen_per_week!E13/SUM(Dagen_per_week!E$2:E$55)</f>
        <v>1.9178082191780823E-2</v>
      </c>
      <c r="F13">
        <f>Dagen_per_week!F13/SUM(Dagen_per_week!F$2:F$55)</f>
        <v>1.912568306010929E-2</v>
      </c>
      <c r="G13">
        <f>Dagen_per_week!G13/SUM(Dagen_per_week!G$2:G$55)</f>
        <v>1.9178082191780823E-2</v>
      </c>
    </row>
    <row r="14" spans="1:7" x14ac:dyDescent="0.25">
      <c r="A14">
        <f t="shared" si="0"/>
        <v>12</v>
      </c>
      <c r="B14">
        <f>Dagen_per_week!B14/SUM(Dagen_per_week!B$2:B$55)</f>
        <v>1.912568306010929E-2</v>
      </c>
      <c r="C14">
        <f>Dagen_per_week!C14/SUM(Dagen_per_week!C$2:C$55)</f>
        <v>1.9178082191780823E-2</v>
      </c>
      <c r="D14">
        <f>Dagen_per_week!D14/SUM(Dagen_per_week!D$2:D$55)</f>
        <v>1.9178082191780823E-2</v>
      </c>
      <c r="E14">
        <f>Dagen_per_week!E14/SUM(Dagen_per_week!E$2:E$55)</f>
        <v>1.9178082191780823E-2</v>
      </c>
      <c r="F14">
        <f>Dagen_per_week!F14/SUM(Dagen_per_week!F$2:F$55)</f>
        <v>1.912568306010929E-2</v>
      </c>
      <c r="G14">
        <f>Dagen_per_week!G14/SUM(Dagen_per_week!G$2:G$55)</f>
        <v>1.9178082191780823E-2</v>
      </c>
    </row>
    <row r="15" spans="1:7" x14ac:dyDescent="0.25">
      <c r="A15">
        <f t="shared" si="0"/>
        <v>13</v>
      </c>
      <c r="B15">
        <f>Dagen_per_week!B15/SUM(Dagen_per_week!B$2:B$55)</f>
        <v>1.912568306010929E-2</v>
      </c>
      <c r="C15">
        <f>Dagen_per_week!C15/SUM(Dagen_per_week!C$2:C$55)</f>
        <v>1.9178082191780823E-2</v>
      </c>
      <c r="D15">
        <f>Dagen_per_week!D15/SUM(Dagen_per_week!D$2:D$55)</f>
        <v>1.9178082191780823E-2</v>
      </c>
      <c r="E15">
        <f>Dagen_per_week!E15/SUM(Dagen_per_week!E$2:E$55)</f>
        <v>1.9178082191780823E-2</v>
      </c>
      <c r="F15">
        <f>Dagen_per_week!F15/SUM(Dagen_per_week!F$2:F$55)</f>
        <v>1.912568306010929E-2</v>
      </c>
      <c r="G15">
        <f>Dagen_per_week!G15/SUM(Dagen_per_week!G$2:G$55)</f>
        <v>1.9178082191780823E-2</v>
      </c>
    </row>
    <row r="16" spans="1:7" x14ac:dyDescent="0.25">
      <c r="A16">
        <f t="shared" si="0"/>
        <v>14</v>
      </c>
      <c r="B16">
        <f>Dagen_per_week!B16/SUM(Dagen_per_week!B$2:B$55)</f>
        <v>1.912568306010929E-2</v>
      </c>
      <c r="C16">
        <f>Dagen_per_week!C16/SUM(Dagen_per_week!C$2:C$55)</f>
        <v>1.9178082191780823E-2</v>
      </c>
      <c r="D16">
        <f>Dagen_per_week!D16/SUM(Dagen_per_week!D$2:D$55)</f>
        <v>1.9178082191780823E-2</v>
      </c>
      <c r="E16">
        <f>Dagen_per_week!E16/SUM(Dagen_per_week!E$2:E$55)</f>
        <v>1.9178082191780823E-2</v>
      </c>
      <c r="F16">
        <f>Dagen_per_week!F16/SUM(Dagen_per_week!F$2:F$55)</f>
        <v>1.912568306010929E-2</v>
      </c>
      <c r="G16">
        <f>Dagen_per_week!G16/SUM(Dagen_per_week!G$2:G$55)</f>
        <v>1.9178082191780823E-2</v>
      </c>
    </row>
    <row r="17" spans="1:7" x14ac:dyDescent="0.25">
      <c r="A17">
        <f t="shared" si="0"/>
        <v>15</v>
      </c>
      <c r="B17">
        <f>Dagen_per_week!B17/SUM(Dagen_per_week!B$2:B$55)</f>
        <v>1.912568306010929E-2</v>
      </c>
      <c r="C17">
        <f>Dagen_per_week!C17/SUM(Dagen_per_week!C$2:C$55)</f>
        <v>1.9178082191780823E-2</v>
      </c>
      <c r="D17">
        <f>Dagen_per_week!D17/SUM(Dagen_per_week!D$2:D$55)</f>
        <v>1.9178082191780823E-2</v>
      </c>
      <c r="E17">
        <f>Dagen_per_week!E17/SUM(Dagen_per_week!E$2:E$55)</f>
        <v>1.9178082191780823E-2</v>
      </c>
      <c r="F17">
        <f>Dagen_per_week!F17/SUM(Dagen_per_week!F$2:F$55)</f>
        <v>1.912568306010929E-2</v>
      </c>
      <c r="G17">
        <f>Dagen_per_week!G17/SUM(Dagen_per_week!G$2:G$55)</f>
        <v>1.9178082191780823E-2</v>
      </c>
    </row>
    <row r="18" spans="1:7" x14ac:dyDescent="0.25">
      <c r="A18">
        <f t="shared" si="0"/>
        <v>16</v>
      </c>
      <c r="B18">
        <f>Dagen_per_week!B18/SUM(Dagen_per_week!B$2:B$55)</f>
        <v>1.912568306010929E-2</v>
      </c>
      <c r="C18">
        <f>Dagen_per_week!C18/SUM(Dagen_per_week!C$2:C$55)</f>
        <v>1.9178082191780823E-2</v>
      </c>
      <c r="D18">
        <f>Dagen_per_week!D18/SUM(Dagen_per_week!D$2:D$55)</f>
        <v>1.9178082191780823E-2</v>
      </c>
      <c r="E18">
        <f>Dagen_per_week!E18/SUM(Dagen_per_week!E$2:E$55)</f>
        <v>1.9178082191780823E-2</v>
      </c>
      <c r="F18">
        <f>Dagen_per_week!F18/SUM(Dagen_per_week!F$2:F$55)</f>
        <v>1.912568306010929E-2</v>
      </c>
      <c r="G18">
        <f>Dagen_per_week!G18/SUM(Dagen_per_week!G$2:G$55)</f>
        <v>1.9178082191780823E-2</v>
      </c>
    </row>
    <row r="19" spans="1:7" x14ac:dyDescent="0.25">
      <c r="A19">
        <f t="shared" si="0"/>
        <v>17</v>
      </c>
      <c r="B19">
        <f>Dagen_per_week!B19/SUM(Dagen_per_week!B$2:B$55)</f>
        <v>1.912568306010929E-2</v>
      </c>
      <c r="C19">
        <f>Dagen_per_week!C19/SUM(Dagen_per_week!C$2:C$55)</f>
        <v>1.9178082191780823E-2</v>
      </c>
      <c r="D19">
        <f>Dagen_per_week!D19/SUM(Dagen_per_week!D$2:D$55)</f>
        <v>1.9178082191780823E-2</v>
      </c>
      <c r="E19">
        <f>Dagen_per_week!E19/SUM(Dagen_per_week!E$2:E$55)</f>
        <v>1.9178082191780823E-2</v>
      </c>
      <c r="F19">
        <f>Dagen_per_week!F19/SUM(Dagen_per_week!F$2:F$55)</f>
        <v>1.912568306010929E-2</v>
      </c>
      <c r="G19">
        <f>Dagen_per_week!G19/SUM(Dagen_per_week!G$2:G$55)</f>
        <v>1.9178082191780823E-2</v>
      </c>
    </row>
    <row r="20" spans="1:7" x14ac:dyDescent="0.25">
      <c r="A20">
        <f t="shared" si="0"/>
        <v>18</v>
      </c>
      <c r="B20">
        <f>Dagen_per_week!B20/SUM(Dagen_per_week!B$2:B$55)</f>
        <v>1.912568306010929E-2</v>
      </c>
      <c r="C20">
        <f>Dagen_per_week!C20/SUM(Dagen_per_week!C$2:C$55)</f>
        <v>1.9178082191780823E-2</v>
      </c>
      <c r="D20">
        <f>Dagen_per_week!D20/SUM(Dagen_per_week!D$2:D$55)</f>
        <v>1.9178082191780823E-2</v>
      </c>
      <c r="E20">
        <f>Dagen_per_week!E20/SUM(Dagen_per_week!E$2:E$55)</f>
        <v>1.9178082191780823E-2</v>
      </c>
      <c r="F20">
        <f>Dagen_per_week!F20/SUM(Dagen_per_week!F$2:F$55)</f>
        <v>1.912568306010929E-2</v>
      </c>
      <c r="G20">
        <f>Dagen_per_week!G20/SUM(Dagen_per_week!G$2:G$55)</f>
        <v>1.9178082191780823E-2</v>
      </c>
    </row>
    <row r="21" spans="1:7" x14ac:dyDescent="0.25">
      <c r="A21">
        <f t="shared" si="0"/>
        <v>19</v>
      </c>
      <c r="B21">
        <f>Dagen_per_week!B21/SUM(Dagen_per_week!B$2:B$55)</f>
        <v>1.912568306010929E-2</v>
      </c>
      <c r="C21">
        <f>Dagen_per_week!C21/SUM(Dagen_per_week!C$2:C$55)</f>
        <v>1.9178082191780823E-2</v>
      </c>
      <c r="D21">
        <f>Dagen_per_week!D21/SUM(Dagen_per_week!D$2:D$55)</f>
        <v>1.9178082191780823E-2</v>
      </c>
      <c r="E21">
        <f>Dagen_per_week!E21/SUM(Dagen_per_week!E$2:E$55)</f>
        <v>1.9178082191780823E-2</v>
      </c>
      <c r="F21">
        <f>Dagen_per_week!F21/SUM(Dagen_per_week!F$2:F$55)</f>
        <v>1.912568306010929E-2</v>
      </c>
      <c r="G21">
        <f>Dagen_per_week!G21/SUM(Dagen_per_week!G$2:G$55)</f>
        <v>1.9178082191780823E-2</v>
      </c>
    </row>
    <row r="22" spans="1:7" x14ac:dyDescent="0.25">
      <c r="A22">
        <f t="shared" si="0"/>
        <v>20</v>
      </c>
      <c r="B22">
        <f>Dagen_per_week!B22/SUM(Dagen_per_week!B$2:B$55)</f>
        <v>1.912568306010929E-2</v>
      </c>
      <c r="C22">
        <f>Dagen_per_week!C22/SUM(Dagen_per_week!C$2:C$55)</f>
        <v>1.9178082191780823E-2</v>
      </c>
      <c r="D22">
        <f>Dagen_per_week!D22/SUM(Dagen_per_week!D$2:D$55)</f>
        <v>1.9178082191780823E-2</v>
      </c>
      <c r="E22">
        <f>Dagen_per_week!E22/SUM(Dagen_per_week!E$2:E$55)</f>
        <v>1.9178082191780823E-2</v>
      </c>
      <c r="F22">
        <f>Dagen_per_week!F22/SUM(Dagen_per_week!F$2:F$55)</f>
        <v>1.912568306010929E-2</v>
      </c>
      <c r="G22">
        <f>Dagen_per_week!G22/SUM(Dagen_per_week!G$2:G$55)</f>
        <v>1.9178082191780823E-2</v>
      </c>
    </row>
    <row r="23" spans="1:7" x14ac:dyDescent="0.25">
      <c r="A23">
        <f t="shared" si="0"/>
        <v>21</v>
      </c>
      <c r="B23">
        <f>Dagen_per_week!B23/SUM(Dagen_per_week!B$2:B$55)</f>
        <v>1.912568306010929E-2</v>
      </c>
      <c r="C23">
        <f>Dagen_per_week!C23/SUM(Dagen_per_week!C$2:C$55)</f>
        <v>1.9178082191780823E-2</v>
      </c>
      <c r="D23">
        <f>Dagen_per_week!D23/SUM(Dagen_per_week!D$2:D$55)</f>
        <v>1.9178082191780823E-2</v>
      </c>
      <c r="E23">
        <f>Dagen_per_week!E23/SUM(Dagen_per_week!E$2:E$55)</f>
        <v>1.9178082191780823E-2</v>
      </c>
      <c r="F23">
        <f>Dagen_per_week!F23/SUM(Dagen_per_week!F$2:F$55)</f>
        <v>1.912568306010929E-2</v>
      </c>
      <c r="G23">
        <f>Dagen_per_week!G23/SUM(Dagen_per_week!G$2:G$55)</f>
        <v>1.9178082191780823E-2</v>
      </c>
    </row>
    <row r="24" spans="1:7" x14ac:dyDescent="0.25">
      <c r="A24">
        <f t="shared" si="0"/>
        <v>22</v>
      </c>
      <c r="B24">
        <f>Dagen_per_week!B24/SUM(Dagen_per_week!B$2:B$55)</f>
        <v>1.912568306010929E-2</v>
      </c>
      <c r="C24">
        <f>Dagen_per_week!C24/SUM(Dagen_per_week!C$2:C$55)</f>
        <v>1.9178082191780823E-2</v>
      </c>
      <c r="D24">
        <f>Dagen_per_week!D24/SUM(Dagen_per_week!D$2:D$55)</f>
        <v>1.9178082191780823E-2</v>
      </c>
      <c r="E24">
        <f>Dagen_per_week!E24/SUM(Dagen_per_week!E$2:E$55)</f>
        <v>1.9178082191780823E-2</v>
      </c>
      <c r="F24">
        <f>Dagen_per_week!F24/SUM(Dagen_per_week!F$2:F$55)</f>
        <v>1.912568306010929E-2</v>
      </c>
      <c r="G24">
        <f>Dagen_per_week!G24/SUM(Dagen_per_week!G$2:G$55)</f>
        <v>1.9178082191780823E-2</v>
      </c>
    </row>
    <row r="25" spans="1:7" x14ac:dyDescent="0.25">
      <c r="A25">
        <f t="shared" si="0"/>
        <v>23</v>
      </c>
      <c r="B25">
        <f>Dagen_per_week!B25/SUM(Dagen_per_week!B$2:B$55)</f>
        <v>1.912568306010929E-2</v>
      </c>
      <c r="C25">
        <f>Dagen_per_week!C25/SUM(Dagen_per_week!C$2:C$55)</f>
        <v>1.9178082191780823E-2</v>
      </c>
      <c r="D25">
        <f>Dagen_per_week!D25/SUM(Dagen_per_week!D$2:D$55)</f>
        <v>1.9178082191780823E-2</v>
      </c>
      <c r="E25">
        <f>Dagen_per_week!E25/SUM(Dagen_per_week!E$2:E$55)</f>
        <v>1.9178082191780823E-2</v>
      </c>
      <c r="F25">
        <f>Dagen_per_week!F25/SUM(Dagen_per_week!F$2:F$55)</f>
        <v>1.912568306010929E-2</v>
      </c>
      <c r="G25">
        <f>Dagen_per_week!G25/SUM(Dagen_per_week!G$2:G$55)</f>
        <v>1.9178082191780823E-2</v>
      </c>
    </row>
    <row r="26" spans="1:7" x14ac:dyDescent="0.25">
      <c r="A26">
        <f t="shared" si="0"/>
        <v>24</v>
      </c>
      <c r="B26">
        <f>Dagen_per_week!B26/SUM(Dagen_per_week!B$2:B$55)</f>
        <v>1.912568306010929E-2</v>
      </c>
      <c r="C26">
        <f>Dagen_per_week!C26/SUM(Dagen_per_week!C$2:C$55)</f>
        <v>1.9178082191780823E-2</v>
      </c>
      <c r="D26">
        <f>Dagen_per_week!D26/SUM(Dagen_per_week!D$2:D$55)</f>
        <v>1.9178082191780823E-2</v>
      </c>
      <c r="E26">
        <f>Dagen_per_week!E26/SUM(Dagen_per_week!E$2:E$55)</f>
        <v>1.9178082191780823E-2</v>
      </c>
      <c r="F26">
        <f>Dagen_per_week!F26/SUM(Dagen_per_week!F$2:F$55)</f>
        <v>1.912568306010929E-2</v>
      </c>
      <c r="G26">
        <f>Dagen_per_week!G26/SUM(Dagen_per_week!G$2:G$55)</f>
        <v>1.9178082191780823E-2</v>
      </c>
    </row>
    <row r="27" spans="1:7" x14ac:dyDescent="0.25">
      <c r="A27">
        <f t="shared" si="0"/>
        <v>25</v>
      </c>
      <c r="B27">
        <f>Dagen_per_week!B27/SUM(Dagen_per_week!B$2:B$55)</f>
        <v>1.912568306010929E-2</v>
      </c>
      <c r="C27">
        <f>Dagen_per_week!C27/SUM(Dagen_per_week!C$2:C$55)</f>
        <v>1.9178082191780823E-2</v>
      </c>
      <c r="D27">
        <f>Dagen_per_week!D27/SUM(Dagen_per_week!D$2:D$55)</f>
        <v>1.9178082191780823E-2</v>
      </c>
      <c r="E27">
        <f>Dagen_per_week!E27/SUM(Dagen_per_week!E$2:E$55)</f>
        <v>1.9178082191780823E-2</v>
      </c>
      <c r="F27">
        <f>Dagen_per_week!F27/SUM(Dagen_per_week!F$2:F$55)</f>
        <v>1.912568306010929E-2</v>
      </c>
      <c r="G27">
        <f>Dagen_per_week!G27/SUM(Dagen_per_week!G$2:G$55)</f>
        <v>1.9178082191780823E-2</v>
      </c>
    </row>
    <row r="28" spans="1:7" x14ac:dyDescent="0.25">
      <c r="A28">
        <f t="shared" si="0"/>
        <v>26</v>
      </c>
      <c r="B28">
        <f>Dagen_per_week!B28/SUM(Dagen_per_week!B$2:B$55)</f>
        <v>1.912568306010929E-2</v>
      </c>
      <c r="C28">
        <f>Dagen_per_week!C28/SUM(Dagen_per_week!C$2:C$55)</f>
        <v>1.9178082191780823E-2</v>
      </c>
      <c r="D28">
        <f>Dagen_per_week!D28/SUM(Dagen_per_week!D$2:D$55)</f>
        <v>1.9178082191780823E-2</v>
      </c>
      <c r="E28">
        <f>Dagen_per_week!E28/SUM(Dagen_per_week!E$2:E$55)</f>
        <v>1.9178082191780823E-2</v>
      </c>
      <c r="F28">
        <f>Dagen_per_week!F28/SUM(Dagen_per_week!F$2:F$55)</f>
        <v>1.912568306010929E-2</v>
      </c>
      <c r="G28">
        <f>Dagen_per_week!G28/SUM(Dagen_per_week!G$2:G$55)</f>
        <v>1.9178082191780823E-2</v>
      </c>
    </row>
    <row r="29" spans="1:7" x14ac:dyDescent="0.25">
      <c r="A29">
        <f t="shared" si="0"/>
        <v>27</v>
      </c>
      <c r="B29">
        <f>Dagen_per_week!B29/SUM(Dagen_per_week!B$2:B$55)</f>
        <v>1.912568306010929E-2</v>
      </c>
      <c r="C29">
        <f>Dagen_per_week!C29/SUM(Dagen_per_week!C$2:C$55)</f>
        <v>1.9178082191780823E-2</v>
      </c>
      <c r="D29">
        <f>Dagen_per_week!D29/SUM(Dagen_per_week!D$2:D$55)</f>
        <v>1.9178082191780823E-2</v>
      </c>
      <c r="E29">
        <f>Dagen_per_week!E29/SUM(Dagen_per_week!E$2:E$55)</f>
        <v>1.9178082191780823E-2</v>
      </c>
      <c r="F29">
        <f>Dagen_per_week!F29/SUM(Dagen_per_week!F$2:F$55)</f>
        <v>1.912568306010929E-2</v>
      </c>
      <c r="G29">
        <f>Dagen_per_week!G29/SUM(Dagen_per_week!G$2:G$55)</f>
        <v>1.9178082191780823E-2</v>
      </c>
    </row>
    <row r="30" spans="1:7" x14ac:dyDescent="0.25">
      <c r="A30">
        <f t="shared" si="0"/>
        <v>28</v>
      </c>
      <c r="B30">
        <f>Dagen_per_week!B30/SUM(Dagen_per_week!B$2:B$55)</f>
        <v>1.912568306010929E-2</v>
      </c>
      <c r="C30">
        <f>Dagen_per_week!C30/SUM(Dagen_per_week!C$2:C$55)</f>
        <v>1.9178082191780823E-2</v>
      </c>
      <c r="D30">
        <f>Dagen_per_week!D30/SUM(Dagen_per_week!D$2:D$55)</f>
        <v>1.9178082191780823E-2</v>
      </c>
      <c r="E30">
        <f>Dagen_per_week!E30/SUM(Dagen_per_week!E$2:E$55)</f>
        <v>1.9178082191780823E-2</v>
      </c>
      <c r="F30">
        <f>Dagen_per_week!F30/SUM(Dagen_per_week!F$2:F$55)</f>
        <v>1.912568306010929E-2</v>
      </c>
      <c r="G30">
        <f>Dagen_per_week!G30/SUM(Dagen_per_week!G$2:G$55)</f>
        <v>1.9178082191780823E-2</v>
      </c>
    </row>
    <row r="31" spans="1:7" x14ac:dyDescent="0.25">
      <c r="A31">
        <f t="shared" si="0"/>
        <v>29</v>
      </c>
      <c r="B31">
        <f>Dagen_per_week!B31/SUM(Dagen_per_week!B$2:B$55)</f>
        <v>1.912568306010929E-2</v>
      </c>
      <c r="C31">
        <f>Dagen_per_week!C31/SUM(Dagen_per_week!C$2:C$55)</f>
        <v>1.9178082191780823E-2</v>
      </c>
      <c r="D31">
        <f>Dagen_per_week!D31/SUM(Dagen_per_week!D$2:D$55)</f>
        <v>1.9178082191780823E-2</v>
      </c>
      <c r="E31">
        <f>Dagen_per_week!E31/SUM(Dagen_per_week!E$2:E$55)</f>
        <v>1.9178082191780823E-2</v>
      </c>
      <c r="F31">
        <f>Dagen_per_week!F31/SUM(Dagen_per_week!F$2:F$55)</f>
        <v>1.912568306010929E-2</v>
      </c>
      <c r="G31">
        <f>Dagen_per_week!G31/SUM(Dagen_per_week!G$2:G$55)</f>
        <v>1.9178082191780823E-2</v>
      </c>
    </row>
    <row r="32" spans="1:7" x14ac:dyDescent="0.25">
      <c r="A32">
        <f t="shared" si="0"/>
        <v>30</v>
      </c>
      <c r="B32">
        <f>Dagen_per_week!B32/SUM(Dagen_per_week!B$2:B$55)</f>
        <v>1.912568306010929E-2</v>
      </c>
      <c r="C32">
        <f>Dagen_per_week!C32/SUM(Dagen_per_week!C$2:C$55)</f>
        <v>1.9178082191780823E-2</v>
      </c>
      <c r="D32">
        <f>Dagen_per_week!D32/SUM(Dagen_per_week!D$2:D$55)</f>
        <v>1.9178082191780823E-2</v>
      </c>
      <c r="E32">
        <f>Dagen_per_week!E32/SUM(Dagen_per_week!E$2:E$55)</f>
        <v>1.9178082191780823E-2</v>
      </c>
      <c r="F32">
        <f>Dagen_per_week!F32/SUM(Dagen_per_week!F$2:F$55)</f>
        <v>1.912568306010929E-2</v>
      </c>
      <c r="G32">
        <f>Dagen_per_week!G32/SUM(Dagen_per_week!G$2:G$55)</f>
        <v>1.9178082191780823E-2</v>
      </c>
    </row>
    <row r="33" spans="1:7" x14ac:dyDescent="0.25">
      <c r="A33">
        <f t="shared" si="0"/>
        <v>31</v>
      </c>
      <c r="B33">
        <f>Dagen_per_week!B33/SUM(Dagen_per_week!B$2:B$55)</f>
        <v>1.912568306010929E-2</v>
      </c>
      <c r="C33">
        <f>Dagen_per_week!C33/SUM(Dagen_per_week!C$2:C$55)</f>
        <v>1.9178082191780823E-2</v>
      </c>
      <c r="D33">
        <f>Dagen_per_week!D33/SUM(Dagen_per_week!D$2:D$55)</f>
        <v>1.9178082191780823E-2</v>
      </c>
      <c r="E33">
        <f>Dagen_per_week!E33/SUM(Dagen_per_week!E$2:E$55)</f>
        <v>1.9178082191780823E-2</v>
      </c>
      <c r="F33">
        <f>Dagen_per_week!F33/SUM(Dagen_per_week!F$2:F$55)</f>
        <v>1.912568306010929E-2</v>
      </c>
      <c r="G33">
        <f>Dagen_per_week!G33/SUM(Dagen_per_week!G$2:G$55)</f>
        <v>1.9178082191780823E-2</v>
      </c>
    </row>
    <row r="34" spans="1:7" x14ac:dyDescent="0.25">
      <c r="A34">
        <f t="shared" si="0"/>
        <v>32</v>
      </c>
      <c r="B34">
        <f>Dagen_per_week!B34/SUM(Dagen_per_week!B$2:B$55)</f>
        <v>1.912568306010929E-2</v>
      </c>
      <c r="C34">
        <f>Dagen_per_week!C34/SUM(Dagen_per_week!C$2:C$55)</f>
        <v>1.9178082191780823E-2</v>
      </c>
      <c r="D34">
        <f>Dagen_per_week!D34/SUM(Dagen_per_week!D$2:D$55)</f>
        <v>1.9178082191780823E-2</v>
      </c>
      <c r="E34">
        <f>Dagen_per_week!E34/SUM(Dagen_per_week!E$2:E$55)</f>
        <v>1.9178082191780823E-2</v>
      </c>
      <c r="F34">
        <f>Dagen_per_week!F34/SUM(Dagen_per_week!F$2:F$55)</f>
        <v>1.912568306010929E-2</v>
      </c>
      <c r="G34">
        <f>Dagen_per_week!G34/SUM(Dagen_per_week!G$2:G$55)</f>
        <v>1.9178082191780823E-2</v>
      </c>
    </row>
    <row r="35" spans="1:7" x14ac:dyDescent="0.25">
      <c r="A35">
        <f t="shared" si="0"/>
        <v>33</v>
      </c>
      <c r="B35">
        <f>Dagen_per_week!B35/SUM(Dagen_per_week!B$2:B$55)</f>
        <v>1.912568306010929E-2</v>
      </c>
      <c r="C35">
        <f>Dagen_per_week!C35/SUM(Dagen_per_week!C$2:C$55)</f>
        <v>1.9178082191780823E-2</v>
      </c>
      <c r="D35">
        <f>Dagen_per_week!D35/SUM(Dagen_per_week!D$2:D$55)</f>
        <v>1.9178082191780823E-2</v>
      </c>
      <c r="E35">
        <f>Dagen_per_week!E35/SUM(Dagen_per_week!E$2:E$55)</f>
        <v>1.9178082191780823E-2</v>
      </c>
      <c r="F35">
        <f>Dagen_per_week!F35/SUM(Dagen_per_week!F$2:F$55)</f>
        <v>1.912568306010929E-2</v>
      </c>
      <c r="G35">
        <f>Dagen_per_week!G35/SUM(Dagen_per_week!G$2:G$55)</f>
        <v>1.9178082191780823E-2</v>
      </c>
    </row>
    <row r="36" spans="1:7" x14ac:dyDescent="0.25">
      <c r="A36">
        <f t="shared" si="0"/>
        <v>34</v>
      </c>
      <c r="B36">
        <f>Dagen_per_week!B36/SUM(Dagen_per_week!B$2:B$55)</f>
        <v>1.912568306010929E-2</v>
      </c>
      <c r="C36">
        <f>Dagen_per_week!C36/SUM(Dagen_per_week!C$2:C$55)</f>
        <v>1.9178082191780823E-2</v>
      </c>
      <c r="D36">
        <f>Dagen_per_week!D36/SUM(Dagen_per_week!D$2:D$55)</f>
        <v>1.9178082191780823E-2</v>
      </c>
      <c r="E36">
        <f>Dagen_per_week!E36/SUM(Dagen_per_week!E$2:E$55)</f>
        <v>1.9178082191780823E-2</v>
      </c>
      <c r="F36">
        <f>Dagen_per_week!F36/SUM(Dagen_per_week!F$2:F$55)</f>
        <v>1.912568306010929E-2</v>
      </c>
      <c r="G36">
        <f>Dagen_per_week!G36/SUM(Dagen_per_week!G$2:G$55)</f>
        <v>1.9178082191780823E-2</v>
      </c>
    </row>
    <row r="37" spans="1:7" x14ac:dyDescent="0.25">
      <c r="A37">
        <f t="shared" si="0"/>
        <v>35</v>
      </c>
      <c r="B37">
        <f>Dagen_per_week!B37/SUM(Dagen_per_week!B$2:B$55)</f>
        <v>1.912568306010929E-2</v>
      </c>
      <c r="C37">
        <f>Dagen_per_week!C37/SUM(Dagen_per_week!C$2:C$55)</f>
        <v>1.9178082191780823E-2</v>
      </c>
      <c r="D37">
        <f>Dagen_per_week!D37/SUM(Dagen_per_week!D$2:D$55)</f>
        <v>1.9178082191780823E-2</v>
      </c>
      <c r="E37">
        <f>Dagen_per_week!E37/SUM(Dagen_per_week!E$2:E$55)</f>
        <v>1.9178082191780823E-2</v>
      </c>
      <c r="F37">
        <f>Dagen_per_week!F37/SUM(Dagen_per_week!F$2:F$55)</f>
        <v>1.912568306010929E-2</v>
      </c>
      <c r="G37">
        <f>Dagen_per_week!G37/SUM(Dagen_per_week!G$2:G$55)</f>
        <v>1.9178082191780823E-2</v>
      </c>
    </row>
    <row r="38" spans="1:7" x14ac:dyDescent="0.25">
      <c r="A38">
        <f t="shared" si="0"/>
        <v>36</v>
      </c>
      <c r="B38">
        <f>Dagen_per_week!B38/SUM(Dagen_per_week!B$2:B$55)</f>
        <v>1.912568306010929E-2</v>
      </c>
      <c r="C38">
        <f>Dagen_per_week!C38/SUM(Dagen_per_week!C$2:C$55)</f>
        <v>1.9178082191780823E-2</v>
      </c>
      <c r="D38">
        <f>Dagen_per_week!D38/SUM(Dagen_per_week!D$2:D$55)</f>
        <v>1.9178082191780823E-2</v>
      </c>
      <c r="E38">
        <f>Dagen_per_week!E38/SUM(Dagen_per_week!E$2:E$55)</f>
        <v>1.9178082191780823E-2</v>
      </c>
      <c r="F38">
        <f>Dagen_per_week!F38/SUM(Dagen_per_week!F$2:F$55)</f>
        <v>1.912568306010929E-2</v>
      </c>
      <c r="G38">
        <f>Dagen_per_week!G38/SUM(Dagen_per_week!G$2:G$55)</f>
        <v>1.9178082191780823E-2</v>
      </c>
    </row>
    <row r="39" spans="1:7" x14ac:dyDescent="0.25">
      <c r="A39">
        <f t="shared" si="0"/>
        <v>37</v>
      </c>
      <c r="B39">
        <f>Dagen_per_week!B39/SUM(Dagen_per_week!B$2:B$55)</f>
        <v>1.912568306010929E-2</v>
      </c>
      <c r="C39">
        <f>Dagen_per_week!C39/SUM(Dagen_per_week!C$2:C$55)</f>
        <v>1.9178082191780823E-2</v>
      </c>
      <c r="D39">
        <f>Dagen_per_week!D39/SUM(Dagen_per_week!D$2:D$55)</f>
        <v>1.9178082191780823E-2</v>
      </c>
      <c r="E39">
        <f>Dagen_per_week!E39/SUM(Dagen_per_week!E$2:E$55)</f>
        <v>1.9178082191780823E-2</v>
      </c>
      <c r="F39">
        <f>Dagen_per_week!F39/SUM(Dagen_per_week!F$2:F$55)</f>
        <v>1.912568306010929E-2</v>
      </c>
      <c r="G39">
        <f>Dagen_per_week!G39/SUM(Dagen_per_week!G$2:G$55)</f>
        <v>1.9178082191780823E-2</v>
      </c>
    </row>
    <row r="40" spans="1:7" x14ac:dyDescent="0.25">
      <c r="A40">
        <f t="shared" si="0"/>
        <v>38</v>
      </c>
      <c r="B40">
        <f>Dagen_per_week!B40/SUM(Dagen_per_week!B$2:B$55)</f>
        <v>1.912568306010929E-2</v>
      </c>
      <c r="C40">
        <f>Dagen_per_week!C40/SUM(Dagen_per_week!C$2:C$55)</f>
        <v>1.9178082191780823E-2</v>
      </c>
      <c r="D40">
        <f>Dagen_per_week!D40/SUM(Dagen_per_week!D$2:D$55)</f>
        <v>1.9178082191780823E-2</v>
      </c>
      <c r="E40">
        <f>Dagen_per_week!E40/SUM(Dagen_per_week!E$2:E$55)</f>
        <v>1.9178082191780823E-2</v>
      </c>
      <c r="F40">
        <f>Dagen_per_week!F40/SUM(Dagen_per_week!F$2:F$55)</f>
        <v>1.912568306010929E-2</v>
      </c>
      <c r="G40">
        <f>Dagen_per_week!G40/SUM(Dagen_per_week!G$2:G$55)</f>
        <v>1.9178082191780823E-2</v>
      </c>
    </row>
    <row r="41" spans="1:7" x14ac:dyDescent="0.25">
      <c r="A41">
        <f t="shared" si="0"/>
        <v>39</v>
      </c>
      <c r="B41">
        <f>Dagen_per_week!B41/SUM(Dagen_per_week!B$2:B$55)</f>
        <v>1.912568306010929E-2</v>
      </c>
      <c r="C41">
        <f>Dagen_per_week!C41/SUM(Dagen_per_week!C$2:C$55)</f>
        <v>1.9178082191780823E-2</v>
      </c>
      <c r="D41">
        <f>Dagen_per_week!D41/SUM(Dagen_per_week!D$2:D$55)</f>
        <v>1.9178082191780823E-2</v>
      </c>
      <c r="E41">
        <f>Dagen_per_week!E41/SUM(Dagen_per_week!E$2:E$55)</f>
        <v>1.9178082191780823E-2</v>
      </c>
      <c r="F41">
        <f>Dagen_per_week!F41/SUM(Dagen_per_week!F$2:F$55)</f>
        <v>1.912568306010929E-2</v>
      </c>
      <c r="G41">
        <f>Dagen_per_week!G41/SUM(Dagen_per_week!G$2:G$55)</f>
        <v>1.9178082191780823E-2</v>
      </c>
    </row>
    <row r="42" spans="1:7" x14ac:dyDescent="0.25">
      <c r="A42">
        <f t="shared" si="0"/>
        <v>40</v>
      </c>
      <c r="B42">
        <f>Dagen_per_week!B42/SUM(Dagen_per_week!B$2:B$55)</f>
        <v>1.912568306010929E-2</v>
      </c>
      <c r="C42">
        <f>Dagen_per_week!C42/SUM(Dagen_per_week!C$2:C$55)</f>
        <v>1.9178082191780823E-2</v>
      </c>
      <c r="D42">
        <f>Dagen_per_week!D42/SUM(Dagen_per_week!D$2:D$55)</f>
        <v>1.9178082191780823E-2</v>
      </c>
      <c r="E42">
        <f>Dagen_per_week!E42/SUM(Dagen_per_week!E$2:E$55)</f>
        <v>1.9178082191780823E-2</v>
      </c>
      <c r="F42">
        <f>Dagen_per_week!F42/SUM(Dagen_per_week!F$2:F$55)</f>
        <v>1.912568306010929E-2</v>
      </c>
      <c r="G42">
        <f>Dagen_per_week!G42/SUM(Dagen_per_week!G$2:G$55)</f>
        <v>1.9178082191780823E-2</v>
      </c>
    </row>
    <row r="43" spans="1:7" x14ac:dyDescent="0.25">
      <c r="A43">
        <f t="shared" si="0"/>
        <v>41</v>
      </c>
      <c r="B43">
        <f>Dagen_per_week!B43/SUM(Dagen_per_week!B$2:B$55)</f>
        <v>1.912568306010929E-2</v>
      </c>
      <c r="C43">
        <f>Dagen_per_week!C43/SUM(Dagen_per_week!C$2:C$55)</f>
        <v>1.9178082191780823E-2</v>
      </c>
      <c r="D43">
        <f>Dagen_per_week!D43/SUM(Dagen_per_week!D$2:D$55)</f>
        <v>1.9178082191780823E-2</v>
      </c>
      <c r="E43">
        <f>Dagen_per_week!E43/SUM(Dagen_per_week!E$2:E$55)</f>
        <v>1.9178082191780823E-2</v>
      </c>
      <c r="F43">
        <f>Dagen_per_week!F43/SUM(Dagen_per_week!F$2:F$55)</f>
        <v>1.912568306010929E-2</v>
      </c>
      <c r="G43">
        <f>Dagen_per_week!G43/SUM(Dagen_per_week!G$2:G$55)</f>
        <v>1.9178082191780823E-2</v>
      </c>
    </row>
    <row r="44" spans="1:7" x14ac:dyDescent="0.25">
      <c r="A44">
        <f t="shared" si="0"/>
        <v>42</v>
      </c>
      <c r="B44">
        <f>Dagen_per_week!B44/SUM(Dagen_per_week!B$2:B$55)</f>
        <v>1.912568306010929E-2</v>
      </c>
      <c r="C44">
        <f>Dagen_per_week!C44/SUM(Dagen_per_week!C$2:C$55)</f>
        <v>1.9178082191780823E-2</v>
      </c>
      <c r="D44">
        <f>Dagen_per_week!D44/SUM(Dagen_per_week!D$2:D$55)</f>
        <v>1.9178082191780823E-2</v>
      </c>
      <c r="E44">
        <f>Dagen_per_week!E44/SUM(Dagen_per_week!E$2:E$55)</f>
        <v>1.9178082191780823E-2</v>
      </c>
      <c r="F44">
        <f>Dagen_per_week!F44/SUM(Dagen_per_week!F$2:F$55)</f>
        <v>1.912568306010929E-2</v>
      </c>
      <c r="G44">
        <f>Dagen_per_week!G44/SUM(Dagen_per_week!G$2:G$55)</f>
        <v>1.9178082191780823E-2</v>
      </c>
    </row>
    <row r="45" spans="1:7" x14ac:dyDescent="0.25">
      <c r="A45">
        <f t="shared" si="0"/>
        <v>43</v>
      </c>
      <c r="B45">
        <f>Dagen_per_week!B45/SUM(Dagen_per_week!B$2:B$55)</f>
        <v>1.912568306010929E-2</v>
      </c>
      <c r="C45">
        <f>Dagen_per_week!C45/SUM(Dagen_per_week!C$2:C$55)</f>
        <v>1.9178082191780823E-2</v>
      </c>
      <c r="D45">
        <f>Dagen_per_week!D45/SUM(Dagen_per_week!D$2:D$55)</f>
        <v>1.9178082191780823E-2</v>
      </c>
      <c r="E45">
        <f>Dagen_per_week!E45/SUM(Dagen_per_week!E$2:E$55)</f>
        <v>1.9178082191780823E-2</v>
      </c>
      <c r="F45">
        <f>Dagen_per_week!F45/SUM(Dagen_per_week!F$2:F$55)</f>
        <v>1.912568306010929E-2</v>
      </c>
      <c r="G45">
        <f>Dagen_per_week!G45/SUM(Dagen_per_week!G$2:G$55)</f>
        <v>1.9178082191780823E-2</v>
      </c>
    </row>
    <row r="46" spans="1:7" x14ac:dyDescent="0.25">
      <c r="A46">
        <f t="shared" si="0"/>
        <v>44</v>
      </c>
      <c r="B46">
        <f>Dagen_per_week!B46/SUM(Dagen_per_week!B$2:B$55)</f>
        <v>1.912568306010929E-2</v>
      </c>
      <c r="C46">
        <f>Dagen_per_week!C46/SUM(Dagen_per_week!C$2:C$55)</f>
        <v>1.9178082191780823E-2</v>
      </c>
      <c r="D46">
        <f>Dagen_per_week!D46/SUM(Dagen_per_week!D$2:D$55)</f>
        <v>1.9178082191780823E-2</v>
      </c>
      <c r="E46">
        <f>Dagen_per_week!E46/SUM(Dagen_per_week!E$2:E$55)</f>
        <v>1.9178082191780823E-2</v>
      </c>
      <c r="F46">
        <f>Dagen_per_week!F46/SUM(Dagen_per_week!F$2:F$55)</f>
        <v>1.912568306010929E-2</v>
      </c>
      <c r="G46">
        <f>Dagen_per_week!G46/SUM(Dagen_per_week!G$2:G$55)</f>
        <v>1.9178082191780823E-2</v>
      </c>
    </row>
    <row r="47" spans="1:7" x14ac:dyDescent="0.25">
      <c r="A47">
        <f t="shared" si="0"/>
        <v>45</v>
      </c>
      <c r="B47">
        <f>Dagen_per_week!B47/SUM(Dagen_per_week!B$2:B$55)</f>
        <v>1.912568306010929E-2</v>
      </c>
      <c r="C47">
        <f>Dagen_per_week!C47/SUM(Dagen_per_week!C$2:C$55)</f>
        <v>1.9178082191780823E-2</v>
      </c>
      <c r="D47">
        <f>Dagen_per_week!D47/SUM(Dagen_per_week!D$2:D$55)</f>
        <v>1.9178082191780823E-2</v>
      </c>
      <c r="E47">
        <f>Dagen_per_week!E47/SUM(Dagen_per_week!E$2:E$55)</f>
        <v>1.9178082191780823E-2</v>
      </c>
      <c r="F47">
        <f>Dagen_per_week!F47/SUM(Dagen_per_week!F$2:F$55)</f>
        <v>1.912568306010929E-2</v>
      </c>
      <c r="G47">
        <f>Dagen_per_week!G47/SUM(Dagen_per_week!G$2:G$55)</f>
        <v>1.9178082191780823E-2</v>
      </c>
    </row>
    <row r="48" spans="1:7" x14ac:dyDescent="0.25">
      <c r="A48">
        <f t="shared" si="0"/>
        <v>46</v>
      </c>
      <c r="B48">
        <f>Dagen_per_week!B48/SUM(Dagen_per_week!B$2:B$55)</f>
        <v>1.912568306010929E-2</v>
      </c>
      <c r="C48">
        <f>Dagen_per_week!C48/SUM(Dagen_per_week!C$2:C$55)</f>
        <v>1.9178082191780823E-2</v>
      </c>
      <c r="D48">
        <f>Dagen_per_week!D48/SUM(Dagen_per_week!D$2:D$55)</f>
        <v>1.9178082191780823E-2</v>
      </c>
      <c r="E48">
        <f>Dagen_per_week!E48/SUM(Dagen_per_week!E$2:E$55)</f>
        <v>1.9178082191780823E-2</v>
      </c>
      <c r="F48">
        <f>Dagen_per_week!F48/SUM(Dagen_per_week!F$2:F$55)</f>
        <v>1.912568306010929E-2</v>
      </c>
      <c r="G48">
        <f>Dagen_per_week!G48/SUM(Dagen_per_week!G$2:G$55)</f>
        <v>1.9178082191780823E-2</v>
      </c>
    </row>
    <row r="49" spans="1:7" x14ac:dyDescent="0.25">
      <c r="A49">
        <f t="shared" si="0"/>
        <v>47</v>
      </c>
      <c r="B49">
        <f>Dagen_per_week!B49/SUM(Dagen_per_week!B$2:B$55)</f>
        <v>1.912568306010929E-2</v>
      </c>
      <c r="C49">
        <f>Dagen_per_week!C49/SUM(Dagen_per_week!C$2:C$55)</f>
        <v>1.9178082191780823E-2</v>
      </c>
      <c r="D49">
        <f>Dagen_per_week!D49/SUM(Dagen_per_week!D$2:D$55)</f>
        <v>1.9178082191780823E-2</v>
      </c>
      <c r="E49">
        <f>Dagen_per_week!E49/SUM(Dagen_per_week!E$2:E$55)</f>
        <v>1.9178082191780823E-2</v>
      </c>
      <c r="F49">
        <f>Dagen_per_week!F49/SUM(Dagen_per_week!F$2:F$55)</f>
        <v>1.912568306010929E-2</v>
      </c>
      <c r="G49">
        <f>Dagen_per_week!G49/SUM(Dagen_per_week!G$2:G$55)</f>
        <v>1.9178082191780823E-2</v>
      </c>
    </row>
    <row r="50" spans="1:7" x14ac:dyDescent="0.25">
      <c r="A50">
        <f t="shared" si="0"/>
        <v>48</v>
      </c>
      <c r="B50">
        <f>Dagen_per_week!B50/SUM(Dagen_per_week!B$2:B$55)</f>
        <v>1.912568306010929E-2</v>
      </c>
      <c r="C50">
        <f>Dagen_per_week!C50/SUM(Dagen_per_week!C$2:C$55)</f>
        <v>1.9178082191780823E-2</v>
      </c>
      <c r="D50">
        <f>Dagen_per_week!D50/SUM(Dagen_per_week!D$2:D$55)</f>
        <v>1.9178082191780823E-2</v>
      </c>
      <c r="E50">
        <f>Dagen_per_week!E50/SUM(Dagen_per_week!E$2:E$55)</f>
        <v>1.9178082191780823E-2</v>
      </c>
      <c r="F50">
        <f>Dagen_per_week!F50/SUM(Dagen_per_week!F$2:F$55)</f>
        <v>1.912568306010929E-2</v>
      </c>
      <c r="G50">
        <f>Dagen_per_week!G50/SUM(Dagen_per_week!G$2:G$55)</f>
        <v>1.9178082191780823E-2</v>
      </c>
    </row>
    <row r="51" spans="1:7" x14ac:dyDescent="0.25">
      <c r="A51">
        <f t="shared" si="0"/>
        <v>49</v>
      </c>
      <c r="B51">
        <f>Dagen_per_week!B51/SUM(Dagen_per_week!B$2:B$55)</f>
        <v>1.912568306010929E-2</v>
      </c>
      <c r="C51">
        <f>Dagen_per_week!C51/SUM(Dagen_per_week!C$2:C$55)</f>
        <v>1.9178082191780823E-2</v>
      </c>
      <c r="D51">
        <f>Dagen_per_week!D51/SUM(Dagen_per_week!D$2:D$55)</f>
        <v>1.9178082191780823E-2</v>
      </c>
      <c r="E51">
        <f>Dagen_per_week!E51/SUM(Dagen_per_week!E$2:E$55)</f>
        <v>1.9178082191780823E-2</v>
      </c>
      <c r="F51">
        <f>Dagen_per_week!F51/SUM(Dagen_per_week!F$2:F$55)</f>
        <v>1.912568306010929E-2</v>
      </c>
      <c r="G51">
        <f>Dagen_per_week!G51/SUM(Dagen_per_week!G$2:G$55)</f>
        <v>1.9178082191780823E-2</v>
      </c>
    </row>
    <row r="52" spans="1:7" x14ac:dyDescent="0.25">
      <c r="A52">
        <f t="shared" si="0"/>
        <v>50</v>
      </c>
      <c r="B52">
        <f>Dagen_per_week!B52/SUM(Dagen_per_week!B$2:B$55)</f>
        <v>1.912568306010929E-2</v>
      </c>
      <c r="C52">
        <f>Dagen_per_week!C52/SUM(Dagen_per_week!C$2:C$55)</f>
        <v>1.9178082191780823E-2</v>
      </c>
      <c r="D52">
        <f>Dagen_per_week!D52/SUM(Dagen_per_week!D$2:D$55)</f>
        <v>1.9178082191780823E-2</v>
      </c>
      <c r="E52">
        <f>Dagen_per_week!E52/SUM(Dagen_per_week!E$2:E$55)</f>
        <v>1.9178082191780823E-2</v>
      </c>
      <c r="F52">
        <f>Dagen_per_week!F52/SUM(Dagen_per_week!F$2:F$55)</f>
        <v>1.912568306010929E-2</v>
      </c>
      <c r="G52">
        <f>Dagen_per_week!G52/SUM(Dagen_per_week!G$2:G$55)</f>
        <v>1.9178082191780823E-2</v>
      </c>
    </row>
    <row r="53" spans="1:7" x14ac:dyDescent="0.25">
      <c r="A53">
        <f t="shared" si="0"/>
        <v>51</v>
      </c>
      <c r="B53">
        <f>Dagen_per_week!B53/SUM(Dagen_per_week!B$2:B$55)</f>
        <v>1.912568306010929E-2</v>
      </c>
      <c r="C53">
        <f>Dagen_per_week!C53/SUM(Dagen_per_week!C$2:C$55)</f>
        <v>1.9178082191780823E-2</v>
      </c>
      <c r="D53">
        <f>Dagen_per_week!D53/SUM(Dagen_per_week!D$2:D$55)</f>
        <v>1.9178082191780823E-2</v>
      </c>
      <c r="E53">
        <f>Dagen_per_week!E53/SUM(Dagen_per_week!E$2:E$55)</f>
        <v>1.9178082191780823E-2</v>
      </c>
      <c r="F53">
        <f>Dagen_per_week!F53/SUM(Dagen_per_week!F$2:F$55)</f>
        <v>1.912568306010929E-2</v>
      </c>
      <c r="G53">
        <f>Dagen_per_week!G53/SUM(Dagen_per_week!G$2:G$55)</f>
        <v>1.9178082191780823E-2</v>
      </c>
    </row>
    <row r="54" spans="1:7" x14ac:dyDescent="0.25">
      <c r="A54">
        <f t="shared" si="0"/>
        <v>52</v>
      </c>
      <c r="B54">
        <f>Dagen_per_week!B54/SUM(Dagen_per_week!B$2:B$55)</f>
        <v>1.912568306010929E-2</v>
      </c>
      <c r="C54">
        <f>Dagen_per_week!C54/SUM(Dagen_per_week!C$2:C$55)</f>
        <v>1.3698630136986301E-2</v>
      </c>
      <c r="D54">
        <f>Dagen_per_week!D54/SUM(Dagen_per_week!D$2:D$55)</f>
        <v>1.643835616438356E-2</v>
      </c>
      <c r="E54">
        <f>Dagen_per_week!E54/SUM(Dagen_per_week!E$2:E$55)</f>
        <v>1.9178082191780823E-2</v>
      </c>
      <c r="F54">
        <f>Dagen_per_week!F54/SUM(Dagen_per_week!F$2:F$55)</f>
        <v>1.912568306010929E-2</v>
      </c>
      <c r="G54">
        <f>Dagen_per_week!G54/SUM(Dagen_per_week!G$2:G$55)</f>
        <v>1.9178082191780823E-2</v>
      </c>
    </row>
    <row r="55" spans="1:7" x14ac:dyDescent="0.25">
      <c r="A55">
        <f t="shared" si="0"/>
        <v>53</v>
      </c>
      <c r="B55">
        <f>Dagen_per_week!B55/SUM(Dagen_per_week!B$2:B$55)</f>
        <v>1.092896174863388E-2</v>
      </c>
      <c r="F55">
        <f>Dagen_per_week!F55/SUM(Dagen_per_week!F$2:F$55)</f>
        <v>5.4644808743169399E-3</v>
      </c>
      <c r="G55">
        <f>Dagen_per_week!G55/SUM(Dagen_per_week!G$2:G$55)</f>
        <v>8.21917808219178E-3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ABE22F-618D-484C-A530-B2448289B1FE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2.xml><?xml version="1.0" encoding="utf-8"?>
<ds:datastoreItem xmlns:ds="http://schemas.openxmlformats.org/officeDocument/2006/customXml" ds:itemID="{EF065BE9-6F02-4859-9982-65AD08C32D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782B9A-AAB4-46E2-80AD-C8A64C00F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Bewerkingen</vt:lpstr>
      <vt:lpstr>Phi</vt:lpstr>
      <vt:lpstr>Dagen_per_week</vt:lpstr>
      <vt:lpstr>Nfrac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Berkum</dc:creator>
  <cp:lastModifiedBy>Mollenkamp B. (Brian)</cp:lastModifiedBy>
  <dcterms:created xsi:type="dcterms:W3CDTF">2024-03-29T09:47:51Z</dcterms:created>
  <dcterms:modified xsi:type="dcterms:W3CDTF">2026-03-21T20:15:30Z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