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prenkels-my.sharepoint.com/personal/frank_tesselaar_sprenkels_nl/Documents/Documenten/3. Prognosetafels werkmap/Deelopdracht 7/"/>
    </mc:Choice>
  </mc:AlternateContent>
  <xr:revisionPtr revIDLastSave="0" documentId="8_{0695C4FD-7DC5-43EF-B4A5-4F430B913E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rameterwaarden 2024" sheetId="1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2" l="1" a="1"/>
  <c r="G10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<sst xmlns="http://schemas.openxmlformats.org/spreadsheetml/2006/main" count="50" uniqueCount="23">
  <si>
    <t xml:space="preserve"> </t>
  </si>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</sst>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000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rgb="FF000000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2" borderId="0" xfId="1" applyFont="1" applyFill="1" applyAlignment="1">
      <alignment horizontal="center"/>
    </xf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2" fillId="4" borderId="0" xfId="1" applyFont="1" applyFill="1"/>
    <xf numFmtId="0" fontId="5" fillId="4" borderId="1" xfId="1" applyFont="1" applyFill="1" applyBorder="1" applyAlignment="1">
      <alignment horizontal="right"/>
    </xf>
    <xf numFmtId="0" fontId="6" fillId="5" borderId="2" xfId="0" applyFont="1" applyFill="1" applyBorder="1"/>
    <xf numFmtId="165" fontId="0" fillId="0" borderId="0" xfId="0" applyNumberFormat="1"/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 xr:uid="{6BDF25FD-4C4B-4112-A528-7B8B78446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kt\Downloads\AG2024%20(3).xlsx" TargetMode="External"/><Relationship Id="rId1" Type="http://schemas.openxmlformats.org/officeDocument/2006/relationships/externalLinkPath" Target="file:///C:\Users\frankt\Downloads\AG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orblad"/>
      <sheetName val="Parameterwaarden 2024"/>
      <sheetName val="qx mannen 2024"/>
      <sheetName val="qx vrouwen 2024"/>
    </sheetNames>
    <sheetDataSet>
      <sheetData sheetId="0"/>
      <sheetData sheetId="1"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2.6478579690840099E-2</v>
          </cell>
        </row>
        <row r="66">
          <cell r="F66">
            <v>4.8662247803845397E-3</v>
          </cell>
        </row>
        <row r="67">
          <cell r="F67">
            <v>-2.0091371552068498E-3</v>
          </cell>
        </row>
        <row r="68">
          <cell r="F68">
            <v>1.6924786264428501E-2</v>
          </cell>
        </row>
        <row r="69">
          <cell r="F69">
            <v>1.3712542439181001E-4</v>
          </cell>
        </row>
        <row r="70">
          <cell r="F70">
            <v>3.5763929344836499E-2</v>
          </cell>
        </row>
        <row r="71">
          <cell r="F71">
            <v>-5.9725559159481698E-3</v>
          </cell>
        </row>
        <row r="72">
          <cell r="F72">
            <v>1.4149042161397901E-2</v>
          </cell>
        </row>
        <row r="73">
          <cell r="F73">
            <v>1.47380898850029E-2</v>
          </cell>
        </row>
        <row r="74">
          <cell r="F74">
            <v>2.1239828851158198E-2</v>
          </cell>
        </row>
        <row r="75">
          <cell r="F75">
            <v>1.56492789016788E-2</v>
          </cell>
        </row>
        <row r="76">
          <cell r="F76">
            <v>6.8262745136313903E-4</v>
          </cell>
        </row>
        <row r="77">
          <cell r="F77">
            <v>3.70682207079122E-2</v>
          </cell>
        </row>
        <row r="78">
          <cell r="F78">
            <v>3.0156820646169102E-2</v>
          </cell>
        </row>
        <row r="79">
          <cell r="F79">
            <v>3.41884383255368E-2</v>
          </cell>
        </row>
        <row r="80">
          <cell r="F80">
            <v>4.32742026792493E-2</v>
          </cell>
        </row>
        <row r="81">
          <cell r="F81">
            <v>3.7717984299683802E-2</v>
          </cell>
        </row>
        <row r="82">
          <cell r="F82">
            <v>2.21822043054055E-2</v>
          </cell>
        </row>
        <row r="83">
          <cell r="F83">
            <v>2.2764952053808601E-2</v>
          </cell>
        </row>
        <row r="84">
          <cell r="F84">
            <v>4.9646927820573797E-2</v>
          </cell>
        </row>
        <row r="85">
          <cell r="F85">
            <v>1.6233600863113699E-2</v>
          </cell>
        </row>
        <row r="86">
          <cell r="F86">
            <v>3.6173834835375701E-2</v>
          </cell>
        </row>
        <row r="87">
          <cell r="F87">
            <v>2.9741388676124501E-2</v>
          </cell>
        </row>
        <row r="88">
          <cell r="F88">
            <v>2.3820718054414099E-2</v>
          </cell>
        </row>
        <row r="89">
          <cell r="F89">
            <v>2.65498110148201E-2</v>
          </cell>
        </row>
        <row r="90">
          <cell r="F90">
            <v>2.85638591594163E-2</v>
          </cell>
        </row>
        <row r="91">
          <cell r="F91">
            <v>2.0397925613588701E-2</v>
          </cell>
        </row>
        <row r="92">
          <cell r="F92">
            <v>2.98745960150903E-2</v>
          </cell>
        </row>
        <row r="93">
          <cell r="F93">
            <v>2.8466250179513802E-2</v>
          </cell>
        </row>
        <row r="94">
          <cell r="F94">
            <v>3.0354832972696401E-2</v>
          </cell>
        </row>
        <row r="95">
          <cell r="F95">
            <v>2.66465676568453E-2</v>
          </cell>
        </row>
        <row r="96">
          <cell r="F96">
            <v>4.2951608794242598E-2</v>
          </cell>
        </row>
        <row r="97">
          <cell r="F97">
            <v>4.0213760946575E-2</v>
          </cell>
        </row>
        <row r="98">
          <cell r="F98">
            <v>4.7853069908465197E-2</v>
          </cell>
        </row>
        <row r="99">
          <cell r="F99">
            <v>7.1674940922062502E-2</v>
          </cell>
        </row>
        <row r="100">
          <cell r="F100">
            <v>8.0835663864989304E-2</v>
          </cell>
        </row>
        <row r="101">
          <cell r="F101">
            <v>8.0835663864989304E-2</v>
          </cell>
        </row>
        <row r="102">
          <cell r="F102">
            <v>8.0835663864989304E-2</v>
          </cell>
        </row>
        <row r="103">
          <cell r="F103">
            <v>8.0835663864989304E-2</v>
          </cell>
        </row>
        <row r="104">
          <cell r="F104">
            <v>8.0835663864989304E-2</v>
          </cell>
        </row>
        <row r="105">
          <cell r="F105">
            <v>8.0835663864989304E-2</v>
          </cell>
        </row>
        <row r="106">
          <cell r="F106">
            <v>8.0835663864989304E-2</v>
          </cell>
        </row>
        <row r="107">
          <cell r="F107">
            <v>8.0835663864989304E-2</v>
          </cell>
        </row>
        <row r="108">
          <cell r="F108">
            <v>8.0835663864989304E-2</v>
          </cell>
        </row>
        <row r="109">
          <cell r="F109">
            <v>8.0835663864989304E-2</v>
          </cell>
        </row>
        <row r="110">
          <cell r="F110">
            <v>8.0835663864989304E-2</v>
          </cell>
        </row>
        <row r="111">
          <cell r="F111">
            <v>8.0835663864989304E-2</v>
          </cell>
        </row>
        <row r="112">
          <cell r="F112">
            <v>8.0835663864989304E-2</v>
          </cell>
        </row>
        <row r="113">
          <cell r="F113">
            <v>8.0835663864989304E-2</v>
          </cell>
        </row>
        <row r="114">
          <cell r="F114">
            <v>8.0835663864989304E-2</v>
          </cell>
        </row>
        <row r="115">
          <cell r="F115">
            <v>8.0835663864989304E-2</v>
          </cell>
        </row>
        <row r="116">
          <cell r="F116">
            <v>8.0835663864989304E-2</v>
          </cell>
        </row>
        <row r="117">
          <cell r="F117">
            <v>8.0835663864989304E-2</v>
          </cell>
        </row>
        <row r="118">
          <cell r="F118">
            <v>8.0835663864989304E-2</v>
          </cell>
        </row>
        <row r="119">
          <cell r="F119">
            <v>8.0835663864989304E-2</v>
          </cell>
        </row>
        <row r="120">
          <cell r="F120">
            <v>8.0835663864989304E-2</v>
          </cell>
        </row>
        <row r="121">
          <cell r="F121">
            <v>8.0835663864989304E-2</v>
          </cell>
        </row>
        <row r="122">
          <cell r="F122">
            <v>8.0835663864989304E-2</v>
          </cell>
        </row>
        <row r="123">
          <cell r="F123">
            <v>8.0835663864989304E-2</v>
          </cell>
        </row>
        <row r="124">
          <cell r="F124">
            <v>8.0835663864989304E-2</v>
          </cell>
        </row>
        <row r="125">
          <cell r="F125">
            <v>8.0835663864989304E-2</v>
          </cell>
        </row>
        <row r="126">
          <cell r="F126">
            <v>8.0835663864989304E-2</v>
          </cell>
        </row>
        <row r="127">
          <cell r="F127">
            <v>8.0835663864989304E-2</v>
          </cell>
        </row>
        <row r="128">
          <cell r="F128">
            <v>8.0835663864989304E-2</v>
          </cell>
        </row>
        <row r="129">
          <cell r="F129">
            <v>8.0835663864989304E-2</v>
          </cell>
        </row>
        <row r="130">
          <cell r="F130">
            <v>8.0835663864989304E-2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C132"/>
  <sheetViews>
    <sheetView tabSelected="1" topLeftCell="A36" zoomScale="69" workbookViewId="0">
      <selection activeCell="W60" sqref="W60:W61"/>
    </sheetView>
  </sheetViews>
  <sheetFormatPr defaultColWidth="9.140625" defaultRowHeight="12.75" x14ac:dyDescent="0.2"/>
  <cols>
    <col min="1" max="1" width="4.140625" style="1" bestFit="1" customWidth="1"/>
    <col min="2" max="2" width="16.5703125" style="1" customWidth="1"/>
    <col min="3" max="3" width="14.42578125" style="1" customWidth="1"/>
    <col min="4" max="4" width="17.5703125" style="1" customWidth="1"/>
    <col min="5" max="6" width="16.5703125" style="1" customWidth="1"/>
    <col min="7" max="7" width="41.140625" style="1" customWidth="1"/>
    <col min="8" max="8" width="6" style="1" customWidth="1"/>
    <col min="9" max="9" width="17" style="1" customWidth="1"/>
    <col min="10" max="11" width="15.42578125" style="1" customWidth="1"/>
    <col min="12" max="12" width="4.5703125" style="1" customWidth="1"/>
    <col min="13" max="13" width="4.140625" style="1" bestFit="1" customWidth="1"/>
    <col min="14" max="14" width="17.5703125" style="1" customWidth="1"/>
    <col min="15" max="15" width="14.42578125" style="1" customWidth="1"/>
    <col min="16" max="16" width="16.5703125" style="1" customWidth="1"/>
    <col min="17" max="18" width="17.42578125" style="1" customWidth="1"/>
    <col min="19" max="19" width="4.5703125" style="1" customWidth="1"/>
    <col min="20" max="20" width="6" style="1" customWidth="1"/>
    <col min="21" max="21" width="17.42578125" style="1" customWidth="1"/>
    <col min="22" max="23" width="16.42578125" style="1" customWidth="1"/>
    <col min="24" max="24" width="10.5703125" style="1" customWidth="1"/>
    <col min="25" max="25" width="19.42578125" style="1" customWidth="1"/>
    <col min="26" max="26" width="15.5703125" style="1" customWidth="1"/>
    <col min="27" max="27" width="14.42578125" style="1" customWidth="1"/>
    <col min="28" max="28" width="15.5703125" style="1" customWidth="1"/>
    <col min="29" max="29" width="17" style="1" customWidth="1"/>
    <col min="30" max="30" width="11.140625" style="1" customWidth="1"/>
    <col min="31" max="16384" width="9.140625" style="1"/>
  </cols>
  <sheetData>
    <row r="3" spans="1:29" ht="15" x14ac:dyDescent="0.25">
      <c r="A3"/>
      <c r="B3"/>
      <c r="C3"/>
      <c r="D3"/>
      <c r="E3"/>
      <c r="F3"/>
      <c r="G3"/>
      <c r="H3"/>
      <c r="I3" s="3" t="s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8" spans="1:29" ht="15" customHeight="1" x14ac:dyDescent="0.25">
      <c r="A8" s="18" t="s">
        <v>1</v>
      </c>
      <c r="B8" s="18"/>
      <c r="C8" s="18"/>
      <c r="D8" s="18"/>
      <c r="E8" s="18"/>
      <c r="F8" s="18"/>
      <c r="G8" s="18"/>
      <c r="H8" s="18"/>
      <c r="I8" s="18"/>
      <c r="J8" s="18"/>
      <c r="K8" s="2"/>
      <c r="L8"/>
      <c r="M8" s="18" t="s">
        <v>2</v>
      </c>
      <c r="N8" s="18"/>
      <c r="O8" s="18"/>
      <c r="P8" s="18"/>
      <c r="Q8" s="18"/>
      <c r="R8" s="18"/>
      <c r="S8" s="18"/>
      <c r="T8" s="18"/>
      <c r="U8" s="18"/>
      <c r="V8" s="18"/>
      <c r="W8" s="2"/>
      <c r="X8"/>
      <c r="Y8" s="4" t="s">
        <v>3</v>
      </c>
      <c r="Z8" s="5"/>
      <c r="AA8" s="5"/>
      <c r="AB8" s="5"/>
      <c r="AC8" s="5"/>
    </row>
    <row r="9" spans="1:29" ht="15" x14ac:dyDescent="0.25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4"/>
      <c r="H9" s="6" t="s">
        <v>10</v>
      </c>
      <c r="I9" s="7" t="s">
        <v>11</v>
      </c>
      <c r="J9" s="7" t="s">
        <v>12</v>
      </c>
      <c r="K9" s="7" t="s">
        <v>13</v>
      </c>
      <c r="L9" s="8"/>
      <c r="M9" s="6" t="s">
        <v>4</v>
      </c>
      <c r="N9" s="7" t="s">
        <v>5</v>
      </c>
      <c r="O9" s="7" t="s">
        <v>6</v>
      </c>
      <c r="P9" s="7" t="s">
        <v>7</v>
      </c>
      <c r="Q9" s="7" t="s">
        <v>8</v>
      </c>
      <c r="R9" s="7" t="s">
        <v>9</v>
      </c>
      <c r="S9" s="4"/>
      <c r="T9" s="6" t="s">
        <v>10</v>
      </c>
      <c r="U9" s="7" t="s">
        <v>11</v>
      </c>
      <c r="V9" s="7" t="s">
        <v>12</v>
      </c>
      <c r="W9" s="7" t="s">
        <v>13</v>
      </c>
      <c r="X9"/>
      <c r="Y9" s="5"/>
      <c r="Z9" s="5" t="s">
        <v>14</v>
      </c>
      <c r="AA9" s="5" t="s">
        <v>15</v>
      </c>
      <c r="AB9" s="5" t="s">
        <v>16</v>
      </c>
      <c r="AC9" s="5" t="s">
        <v>17</v>
      </c>
    </row>
    <row r="10" spans="1:29" ht="12.6" customHeight="1" x14ac:dyDescent="0.25">
      <c r="A10" s="9">
        <v>0</v>
      </c>
      <c r="B10" s="10">
        <v>-4.9276846450000003</v>
      </c>
      <c r="C10" s="10">
        <v>1.9884182E-2</v>
      </c>
      <c r="D10" s="10">
        <v>-6.9770607999999998E-2</v>
      </c>
      <c r="E10" s="10">
        <v>1.8750017000000001E-2</v>
      </c>
      <c r="F10" s="10">
        <v>0</v>
      </c>
      <c r="G10" s="17" cm="1">
        <f t="array" ref="G10:G130">F10:F130-'[1]Parameterwaarden 2024'!$F$10:$F$130</f>
        <v>0</v>
      </c>
      <c r="H10" s="9">
        <v>1970</v>
      </c>
      <c r="I10" s="10">
        <v>44.501348806000003</v>
      </c>
      <c r="J10"/>
      <c r="K10"/>
      <c r="L10"/>
      <c r="M10" s="9">
        <v>0</v>
      </c>
      <c r="N10" s="10">
        <v>-5.1632921789999999</v>
      </c>
      <c r="O10" s="10">
        <v>2.0085603E-2</v>
      </c>
      <c r="P10" s="10">
        <v>-1.4241999999999999E-2</v>
      </c>
      <c r="Q10" s="10">
        <v>2.1169198E-2</v>
      </c>
      <c r="R10" s="10">
        <v>0</v>
      </c>
      <c r="S10"/>
      <c r="T10" s="9">
        <v>1970</v>
      </c>
      <c r="U10" s="10">
        <v>47.342069033999998</v>
      </c>
      <c r="V10"/>
      <c r="W10"/>
      <c r="X10"/>
      <c r="Y10" s="5"/>
      <c r="Z10" s="10"/>
      <c r="AA10" s="10"/>
      <c r="AB10" s="10"/>
      <c r="AC10" s="10"/>
    </row>
    <row r="11" spans="1:29" ht="12.6" customHeight="1" x14ac:dyDescent="0.25">
      <c r="A11" s="9">
        <v>1</v>
      </c>
      <c r="B11" s="10">
        <v>-7.5025582630000001</v>
      </c>
      <c r="C11" s="10">
        <v>1.8176716999999998E-2</v>
      </c>
      <c r="D11" s="10">
        <v>-2.1756357E-2</v>
      </c>
      <c r="E11" s="10">
        <v>3.6770100000000001E-3</v>
      </c>
      <c r="F11" s="10">
        <v>0</v>
      </c>
      <c r="G11" s="17">
        <v>0</v>
      </c>
      <c r="H11" s="9">
        <v>1971</v>
      </c>
      <c r="I11" s="10">
        <v>43.150771157999998</v>
      </c>
      <c r="J11"/>
      <c r="K11"/>
      <c r="L11"/>
      <c r="M11" s="9">
        <v>1</v>
      </c>
      <c r="N11" s="10">
        <v>-7.6537396759999998</v>
      </c>
      <c r="O11" s="10">
        <v>1.8927148000000001E-2</v>
      </c>
      <c r="P11" s="10">
        <v>2.1523192999999999E-2</v>
      </c>
      <c r="Q11" s="10">
        <v>9.0276099999999997E-4</v>
      </c>
      <c r="R11" s="10">
        <v>0</v>
      </c>
      <c r="S11"/>
      <c r="T11" s="9">
        <v>1971</v>
      </c>
      <c r="U11" s="10">
        <v>45.372312692000001</v>
      </c>
      <c r="V11"/>
      <c r="W11"/>
      <c r="X11"/>
      <c r="Y11" s="5" t="s">
        <v>15</v>
      </c>
      <c r="Z11" s="10"/>
      <c r="AA11" s="10"/>
      <c r="AB11" s="10"/>
      <c r="AC11" s="10"/>
    </row>
    <row r="12" spans="1:29" ht="12.6" customHeight="1" x14ac:dyDescent="0.25">
      <c r="A12" s="9">
        <v>2</v>
      </c>
      <c r="B12" s="10">
        <v>-7.9590362590000003</v>
      </c>
      <c r="C12" s="10">
        <v>1.9235419E-2</v>
      </c>
      <c r="D12" s="10">
        <v>5.4112905000000003E-2</v>
      </c>
      <c r="E12" s="10">
        <v>2.1957197000000001E-2</v>
      </c>
      <c r="F12" s="10">
        <v>0</v>
      </c>
      <c r="G12" s="17">
        <v>0</v>
      </c>
      <c r="H12" s="9">
        <v>1972</v>
      </c>
      <c r="I12" s="10">
        <v>43.012615521999997</v>
      </c>
      <c r="J12"/>
      <c r="K12"/>
      <c r="L12"/>
      <c r="M12" s="9">
        <v>2</v>
      </c>
      <c r="N12" s="10">
        <v>-8.2026638419999998</v>
      </c>
      <c r="O12" s="10">
        <v>1.9850443999999998E-2</v>
      </c>
      <c r="P12" s="10">
        <v>-7.6685850000000003E-3</v>
      </c>
      <c r="Q12" s="10">
        <v>-6.8609259999999998E-3</v>
      </c>
      <c r="R12" s="10">
        <v>0</v>
      </c>
      <c r="S12"/>
      <c r="T12" s="9">
        <v>1972</v>
      </c>
      <c r="U12" s="10">
        <v>44.225408264999999</v>
      </c>
      <c r="V12"/>
      <c r="W12"/>
      <c r="X12"/>
      <c r="Y12" s="5" t="s">
        <v>16</v>
      </c>
      <c r="Z12" s="10"/>
      <c r="AA12" s="10"/>
      <c r="AB12" s="10"/>
      <c r="AC12" s="10"/>
    </row>
    <row r="13" spans="1:29" ht="12.6" customHeight="1" x14ac:dyDescent="0.25">
      <c r="A13" s="9">
        <v>3</v>
      </c>
      <c r="B13" s="10">
        <v>-8.2055118530000009</v>
      </c>
      <c r="C13" s="10">
        <v>2.0690687999999999E-2</v>
      </c>
      <c r="D13" s="10">
        <v>1.0610784999999999E-2</v>
      </c>
      <c r="E13" s="10">
        <v>1.7008136E-2</v>
      </c>
      <c r="F13" s="10">
        <v>0</v>
      </c>
      <c r="G13" s="17">
        <v>0</v>
      </c>
      <c r="H13" s="9">
        <v>1973</v>
      </c>
      <c r="I13" s="10">
        <v>41.498236937000001</v>
      </c>
      <c r="J13"/>
      <c r="K13"/>
      <c r="L13"/>
      <c r="M13" s="9">
        <v>3</v>
      </c>
      <c r="N13" s="10">
        <v>-8.4449512599999998</v>
      </c>
      <c r="O13" s="10">
        <v>2.0053300999999999E-2</v>
      </c>
      <c r="P13" s="10">
        <v>-5.0879901999999998E-2</v>
      </c>
      <c r="Q13" s="10">
        <v>8.88681E-4</v>
      </c>
      <c r="R13" s="10">
        <v>0</v>
      </c>
      <c r="S13"/>
      <c r="T13" s="9">
        <v>1973</v>
      </c>
      <c r="U13" s="10">
        <v>42.560844993000003</v>
      </c>
      <c r="V13"/>
      <c r="W13"/>
      <c r="X13"/>
      <c r="Y13" s="5" t="s">
        <v>17</v>
      </c>
      <c r="Z13" s="10"/>
      <c r="AA13" s="10"/>
      <c r="AB13" s="10"/>
      <c r="AC13" s="10"/>
    </row>
    <row r="14" spans="1:29" ht="12.6" customHeight="1" x14ac:dyDescent="0.25">
      <c r="A14" s="9">
        <v>4</v>
      </c>
      <c r="B14" s="10">
        <v>-8.3908010849999997</v>
      </c>
      <c r="C14" s="10">
        <v>2.1195881999999999E-2</v>
      </c>
      <c r="D14" s="10">
        <v>-3.6778617E-2</v>
      </c>
      <c r="E14" s="10">
        <v>1.8914422E-2</v>
      </c>
      <c r="F14" s="10">
        <v>0</v>
      </c>
      <c r="G14" s="17">
        <v>0</v>
      </c>
      <c r="H14" s="9">
        <v>1974</v>
      </c>
      <c r="I14" s="10">
        <v>39.795128726999998</v>
      </c>
      <c r="J14"/>
      <c r="K14"/>
      <c r="L14"/>
      <c r="M14" s="9">
        <v>4</v>
      </c>
      <c r="N14" s="10">
        <v>-8.6357584789999997</v>
      </c>
      <c r="O14" s="10">
        <v>2.0156410999999999E-2</v>
      </c>
      <c r="P14" s="10">
        <v>1.8815566999999998E-2</v>
      </c>
      <c r="Q14" s="10">
        <v>1.4725606E-2</v>
      </c>
      <c r="R14" s="10">
        <v>0</v>
      </c>
      <c r="S14"/>
      <c r="T14" s="9">
        <v>1974</v>
      </c>
      <c r="U14" s="10">
        <v>40.277790047000003</v>
      </c>
      <c r="V14"/>
      <c r="W14"/>
      <c r="X14"/>
      <c r="Y14"/>
      <c r="Z14"/>
      <c r="AA14"/>
      <c r="AB14"/>
      <c r="AC14"/>
    </row>
    <row r="15" spans="1:29" ht="12.6" customHeight="1" x14ac:dyDescent="0.25">
      <c r="A15" s="9">
        <v>5</v>
      </c>
      <c r="B15" s="10">
        <v>-8.4922871059999991</v>
      </c>
      <c r="C15" s="10">
        <v>2.1736546999999998E-2</v>
      </c>
      <c r="D15" s="10">
        <v>6.2505549999999997E-3</v>
      </c>
      <c r="E15" s="10">
        <v>2.5664393000000001E-2</v>
      </c>
      <c r="F15" s="10">
        <v>0</v>
      </c>
      <c r="G15" s="17">
        <v>0</v>
      </c>
      <c r="H15" s="9">
        <v>1975</v>
      </c>
      <c r="I15" s="10">
        <v>39.835585238999997</v>
      </c>
      <c r="J15"/>
      <c r="K15"/>
      <c r="L15"/>
      <c r="M15" s="9">
        <v>5</v>
      </c>
      <c r="N15" s="10">
        <v>-8.7618011310000004</v>
      </c>
      <c r="O15" s="10">
        <v>2.0248373E-2</v>
      </c>
      <c r="P15" s="10">
        <v>-5.7312105000000002E-2</v>
      </c>
      <c r="Q15" s="10">
        <v>-2.3005209999999998E-3</v>
      </c>
      <c r="R15" s="10">
        <v>0</v>
      </c>
      <c r="S15"/>
      <c r="T15" s="9">
        <v>1975</v>
      </c>
      <c r="U15" s="10">
        <v>39.563874101000003</v>
      </c>
      <c r="V15"/>
      <c r="W15"/>
      <c r="X15"/>
      <c r="Y15"/>
      <c r="Z15"/>
      <c r="AA15"/>
      <c r="AB15"/>
      <c r="AC15"/>
    </row>
    <row r="16" spans="1:29" ht="12.6" customHeight="1" x14ac:dyDescent="0.25">
      <c r="A16" s="9">
        <v>6</v>
      </c>
      <c r="B16" s="10">
        <v>-8.5746148120000001</v>
      </c>
      <c r="C16" s="10">
        <v>2.1799143E-2</v>
      </c>
      <c r="D16" s="10">
        <v>-3.896637E-2</v>
      </c>
      <c r="E16" s="10">
        <v>5.3551090000000003E-3</v>
      </c>
      <c r="F16" s="10">
        <v>0</v>
      </c>
      <c r="G16" s="17">
        <v>0</v>
      </c>
      <c r="H16" s="9">
        <v>1976</v>
      </c>
      <c r="I16" s="10">
        <v>38.666072769000003</v>
      </c>
      <c r="J16"/>
      <c r="K16"/>
      <c r="L16"/>
      <c r="M16" s="9">
        <v>6</v>
      </c>
      <c r="N16" s="10">
        <v>-8.8238360870000001</v>
      </c>
      <c r="O16" s="10">
        <v>1.9693891000000002E-2</v>
      </c>
      <c r="P16" s="10">
        <v>-0.10187149500000001</v>
      </c>
      <c r="Q16" s="10">
        <v>1.6760495E-2</v>
      </c>
      <c r="R16" s="10">
        <v>0</v>
      </c>
      <c r="S16"/>
      <c r="T16" s="9">
        <v>1976</v>
      </c>
      <c r="U16" s="10">
        <v>37.919067421000001</v>
      </c>
      <c r="V16"/>
      <c r="W16"/>
      <c r="X16"/>
      <c r="Y16"/>
      <c r="Z16"/>
      <c r="AA16"/>
      <c r="AB16"/>
      <c r="AC16"/>
    </row>
    <row r="17" spans="1:29" ht="12.6" customHeight="1" x14ac:dyDescent="0.25">
      <c r="A17" s="9">
        <v>7</v>
      </c>
      <c r="B17" s="10">
        <v>-8.6434124959999998</v>
      </c>
      <c r="C17" s="10">
        <v>2.2012812999999999E-2</v>
      </c>
      <c r="D17" s="10">
        <v>-3.2109327E-2</v>
      </c>
      <c r="E17" s="10">
        <v>3.3987043000000002E-2</v>
      </c>
      <c r="F17" s="10">
        <v>0</v>
      </c>
      <c r="G17" s="17">
        <v>0</v>
      </c>
      <c r="H17" s="9">
        <v>1977</v>
      </c>
      <c r="I17" s="10">
        <v>34.223331645999998</v>
      </c>
      <c r="J17"/>
      <c r="K17"/>
      <c r="L17"/>
      <c r="M17" s="9">
        <v>7</v>
      </c>
      <c r="N17" s="10">
        <v>-8.9450648350000002</v>
      </c>
      <c r="O17" s="10">
        <v>2.0342979000000001E-2</v>
      </c>
      <c r="P17" s="10">
        <v>-6.0719759999999998E-2</v>
      </c>
      <c r="Q17" s="10">
        <v>1.2313551000000001E-2</v>
      </c>
      <c r="R17" s="10">
        <v>0</v>
      </c>
      <c r="S17"/>
      <c r="T17" s="9">
        <v>1977</v>
      </c>
      <c r="U17" s="10">
        <v>31.941619801000002</v>
      </c>
      <c r="V17"/>
      <c r="W17"/>
      <c r="X17"/>
      <c r="Y17" s="4" t="s">
        <v>18</v>
      </c>
      <c r="Z17" s="5"/>
      <c r="AA17" s="5"/>
      <c r="AB17" s="5"/>
      <c r="AC17" s="5"/>
    </row>
    <row r="18" spans="1:29" ht="12.6" customHeight="1" x14ac:dyDescent="0.25">
      <c r="A18" s="9">
        <v>8</v>
      </c>
      <c r="B18" s="10">
        <v>-8.6825920839999995</v>
      </c>
      <c r="C18" s="10">
        <v>2.0710394E-2</v>
      </c>
      <c r="D18" s="10">
        <v>-4.7704894999999997E-2</v>
      </c>
      <c r="E18" s="10">
        <v>2.2206341000000001E-2</v>
      </c>
      <c r="F18" s="10">
        <v>0</v>
      </c>
      <c r="G18" s="17">
        <v>0</v>
      </c>
      <c r="H18" s="9">
        <v>1978</v>
      </c>
      <c r="I18" s="10">
        <v>34.775011194000001</v>
      </c>
      <c r="J18"/>
      <c r="K18"/>
      <c r="L18"/>
      <c r="M18" s="9">
        <v>8</v>
      </c>
      <c r="N18" s="10">
        <v>-8.9822030159999997</v>
      </c>
      <c r="O18" s="10">
        <v>1.8389563000000001E-2</v>
      </c>
      <c r="P18" s="10">
        <v>-0.126652825</v>
      </c>
      <c r="Q18" s="10">
        <v>1.4504435E-2</v>
      </c>
      <c r="R18" s="10">
        <v>0</v>
      </c>
      <c r="S18"/>
      <c r="T18" s="9">
        <v>1978</v>
      </c>
      <c r="U18" s="10">
        <v>31.995482690999999</v>
      </c>
      <c r="V18"/>
      <c r="W18"/>
      <c r="X18"/>
      <c r="Y18" s="5"/>
      <c r="Z18" s="5" t="s">
        <v>14</v>
      </c>
      <c r="AA18" s="5" t="s">
        <v>15</v>
      </c>
      <c r="AB18" s="5" t="s">
        <v>16</v>
      </c>
      <c r="AC18" s="5" t="s">
        <v>17</v>
      </c>
    </row>
    <row r="19" spans="1:29" ht="12.6" customHeight="1" x14ac:dyDescent="0.25">
      <c r="A19" s="9">
        <v>9</v>
      </c>
      <c r="B19" s="10">
        <v>-8.7295862040000003</v>
      </c>
      <c r="C19" s="10">
        <v>2.0015747E-2</v>
      </c>
      <c r="D19" s="10">
        <v>-0.110590517</v>
      </c>
      <c r="E19" s="10">
        <v>2.1155011000000001E-2</v>
      </c>
      <c r="F19" s="10">
        <v>0</v>
      </c>
      <c r="G19" s="17">
        <v>0</v>
      </c>
      <c r="H19" s="9">
        <v>1979</v>
      </c>
      <c r="I19" s="10">
        <v>32.626109772</v>
      </c>
      <c r="J19"/>
      <c r="K19"/>
      <c r="L19"/>
      <c r="M19" s="9">
        <v>9</v>
      </c>
      <c r="N19" s="10">
        <v>-9.0239290600000004</v>
      </c>
      <c r="O19" s="10">
        <v>1.7758658E-2</v>
      </c>
      <c r="P19" s="10">
        <v>-1.007165E-3</v>
      </c>
      <c r="Q19" s="10">
        <v>1.2009825E-2</v>
      </c>
      <c r="R19" s="10">
        <v>0</v>
      </c>
      <c r="S19"/>
      <c r="T19" s="9">
        <v>1979</v>
      </c>
      <c r="U19" s="10">
        <v>29.535212041000001</v>
      </c>
      <c r="V19"/>
      <c r="W19"/>
      <c r="X19"/>
      <c r="Y19" s="5" t="s">
        <v>14</v>
      </c>
      <c r="Z19" s="10"/>
      <c r="AA19" s="10"/>
      <c r="AB19" s="10"/>
      <c r="AC19" s="10"/>
    </row>
    <row r="20" spans="1:29" ht="12.6" customHeight="1" x14ac:dyDescent="0.25">
      <c r="A20" s="9">
        <v>10</v>
      </c>
      <c r="B20" s="10">
        <v>-8.7511168090000009</v>
      </c>
      <c r="C20" s="10">
        <v>1.9102411999999999E-2</v>
      </c>
      <c r="D20" s="10">
        <v>-3.1144720000000001E-3</v>
      </c>
      <c r="E20" s="10">
        <v>1.8077146999999998E-2</v>
      </c>
      <c r="F20" s="10">
        <v>0</v>
      </c>
      <c r="G20" s="17">
        <v>0</v>
      </c>
      <c r="H20" s="9">
        <v>1980</v>
      </c>
      <c r="I20" s="10">
        <v>31.053276125</v>
      </c>
      <c r="J20"/>
      <c r="K20"/>
      <c r="L20"/>
      <c r="M20" s="9">
        <v>10</v>
      </c>
      <c r="N20" s="10">
        <v>-9.0343671759999999</v>
      </c>
      <c r="O20" s="10">
        <v>1.6419698E-2</v>
      </c>
      <c r="P20" s="10">
        <v>1.3313553000000001E-2</v>
      </c>
      <c r="Q20" s="10">
        <v>1.7529880000000001E-2</v>
      </c>
      <c r="R20" s="10">
        <v>0</v>
      </c>
      <c r="S20"/>
      <c r="T20" s="9">
        <v>1980</v>
      </c>
      <c r="U20" s="10">
        <v>27.413090107999999</v>
      </c>
      <c r="V20"/>
      <c r="W20"/>
      <c r="X20"/>
      <c r="Y20" s="5" t="s">
        <v>15</v>
      </c>
      <c r="Z20" s="10"/>
      <c r="AA20" s="10"/>
      <c r="AB20" s="10"/>
      <c r="AC20" s="10"/>
    </row>
    <row r="21" spans="1:29" ht="12.6" customHeight="1" x14ac:dyDescent="0.25">
      <c r="A21" s="9">
        <v>11</v>
      </c>
      <c r="B21" s="10">
        <v>-8.6824630650000003</v>
      </c>
      <c r="C21" s="10">
        <v>1.7402936000000001E-2</v>
      </c>
      <c r="D21" s="10">
        <v>-0.10478578299999999</v>
      </c>
      <c r="E21" s="10">
        <v>-3.3970020000000001E-3</v>
      </c>
      <c r="F21" s="10">
        <v>0</v>
      </c>
      <c r="G21" s="17">
        <v>0</v>
      </c>
      <c r="H21" s="9">
        <v>1981</v>
      </c>
      <c r="I21" s="10">
        <v>29.475640206000001</v>
      </c>
      <c r="J21"/>
      <c r="K21"/>
      <c r="L21"/>
      <c r="M21" s="9">
        <v>11</v>
      </c>
      <c r="N21" s="10">
        <v>-9.0141601720000004</v>
      </c>
      <c r="O21" s="10">
        <v>1.5131074E-2</v>
      </c>
      <c r="P21" s="10">
        <v>3.387308E-2</v>
      </c>
      <c r="Q21" s="10">
        <v>-6.1563260000000002E-3</v>
      </c>
      <c r="R21" s="10">
        <v>0</v>
      </c>
      <c r="S21"/>
      <c r="T21" s="9">
        <v>1981</v>
      </c>
      <c r="U21" s="10">
        <v>26.180337398999999</v>
      </c>
      <c r="V21"/>
      <c r="W21"/>
      <c r="X21"/>
      <c r="Y21" s="5" t="s">
        <v>16</v>
      </c>
      <c r="Z21" s="10"/>
      <c r="AA21" s="10"/>
      <c r="AB21" s="10"/>
      <c r="AC21" s="10"/>
    </row>
    <row r="22" spans="1:29" ht="12.6" customHeight="1" x14ac:dyDescent="0.25">
      <c r="A22" s="9">
        <v>12</v>
      </c>
      <c r="B22" s="10">
        <v>-8.6059885200000004</v>
      </c>
      <c r="C22" s="10">
        <v>1.6148888E-2</v>
      </c>
      <c r="D22" s="10">
        <v>-2.0778771000000001E-2</v>
      </c>
      <c r="E22" s="10">
        <v>4.0522777000000003E-2</v>
      </c>
      <c r="F22" s="10">
        <v>0</v>
      </c>
      <c r="G22" s="17">
        <v>0</v>
      </c>
      <c r="H22" s="9">
        <v>1982</v>
      </c>
      <c r="I22" s="10">
        <v>27.270954452000002</v>
      </c>
      <c r="J22"/>
      <c r="K22"/>
      <c r="L22"/>
      <c r="M22" s="9">
        <v>12</v>
      </c>
      <c r="N22" s="10">
        <v>-8.9419015060000007</v>
      </c>
      <c r="O22" s="10">
        <v>1.4728995E-2</v>
      </c>
      <c r="P22" s="10">
        <v>0.11897298100000001</v>
      </c>
      <c r="Q22" s="10">
        <v>-2.8370309999999998E-3</v>
      </c>
      <c r="R22" s="10">
        <v>0</v>
      </c>
      <c r="S22"/>
      <c r="T22" s="9">
        <v>1982</v>
      </c>
      <c r="U22" s="10">
        <v>23.802990842</v>
      </c>
      <c r="V22"/>
      <c r="W22"/>
      <c r="X22"/>
      <c r="Y22" s="5" t="s">
        <v>17</v>
      </c>
      <c r="Z22" s="10"/>
      <c r="AA22" s="10"/>
      <c r="AB22" s="10"/>
      <c r="AC22" s="10"/>
    </row>
    <row r="23" spans="1:29" ht="12.6" customHeight="1" x14ac:dyDescent="0.25">
      <c r="A23" s="9">
        <v>13</v>
      </c>
      <c r="B23" s="10">
        <v>-8.4798355189999999</v>
      </c>
      <c r="C23" s="10">
        <v>1.5695918999999999E-2</v>
      </c>
      <c r="D23" s="10">
        <v>-7.4789069999999999E-3</v>
      </c>
      <c r="E23" s="10">
        <v>1.7880611000000001E-2</v>
      </c>
      <c r="F23" s="10">
        <v>0</v>
      </c>
      <c r="G23" s="17">
        <v>0</v>
      </c>
      <c r="H23" s="9">
        <v>1983</v>
      </c>
      <c r="I23" s="10">
        <v>26.578405394000001</v>
      </c>
      <c r="J23" s="10">
        <v>-7.4805475269999997</v>
      </c>
      <c r="K23"/>
      <c r="L23"/>
      <c r="M23" s="9">
        <v>13</v>
      </c>
      <c r="N23" s="10">
        <v>-8.8471420439999999</v>
      </c>
      <c r="O23" s="10">
        <v>1.3128256E-2</v>
      </c>
      <c r="P23" s="10">
        <v>0.103676539</v>
      </c>
      <c r="Q23" s="10">
        <v>-1.1640795000000001E-2</v>
      </c>
      <c r="R23" s="10">
        <v>0</v>
      </c>
      <c r="S23"/>
      <c r="T23" s="9">
        <v>1983</v>
      </c>
      <c r="U23" s="10">
        <v>22.861752641999999</v>
      </c>
      <c r="V23" s="10">
        <v>-12.157985652000001</v>
      </c>
      <c r="W23"/>
      <c r="X23"/>
      <c r="Y23"/>
      <c r="Z23"/>
      <c r="AA23"/>
      <c r="AB23"/>
      <c r="AC23"/>
    </row>
    <row r="24" spans="1:29" ht="12.6" customHeight="1" x14ac:dyDescent="0.25">
      <c r="A24" s="9">
        <v>14</v>
      </c>
      <c r="B24" s="10">
        <v>-8.2630708100000003</v>
      </c>
      <c r="C24" s="10">
        <v>1.5033708999999999E-2</v>
      </c>
      <c r="D24" s="10">
        <v>-0.109797202</v>
      </c>
      <c r="E24" s="10">
        <v>1.6573573000000001E-2</v>
      </c>
      <c r="F24" s="10">
        <v>0</v>
      </c>
      <c r="G24" s="17">
        <v>0</v>
      </c>
      <c r="H24" s="9">
        <v>1984</v>
      </c>
      <c r="I24" s="10">
        <v>23.035762981000001</v>
      </c>
      <c r="J24" s="10">
        <v>-5.7934062800000001</v>
      </c>
      <c r="K24"/>
      <c r="L24"/>
      <c r="M24" s="9">
        <v>14</v>
      </c>
      <c r="N24" s="10">
        <v>-8.6812133490000001</v>
      </c>
      <c r="O24" s="10">
        <v>1.3362901E-2</v>
      </c>
      <c r="P24" s="10">
        <v>-4.2755643000000003E-2</v>
      </c>
      <c r="Q24" s="10">
        <v>1.5287873E-2</v>
      </c>
      <c r="R24" s="10">
        <v>0</v>
      </c>
      <c r="S24"/>
      <c r="T24" s="9">
        <v>1984</v>
      </c>
      <c r="U24" s="10">
        <v>18.293138124999999</v>
      </c>
      <c r="V24" s="10">
        <v>-9.0940724979999992</v>
      </c>
      <c r="W24"/>
      <c r="X24"/>
      <c r="Y24"/>
      <c r="Z24"/>
      <c r="AA24"/>
      <c r="AB24"/>
      <c r="AC24"/>
    </row>
    <row r="25" spans="1:29" ht="12.6" customHeight="1" x14ac:dyDescent="0.25">
      <c r="A25" s="9">
        <v>15</v>
      </c>
      <c r="B25" s="10">
        <v>-7.9961499299999996</v>
      </c>
      <c r="C25" s="10">
        <v>1.4608168E-2</v>
      </c>
      <c r="D25" s="10">
        <v>-0.17413752900000001</v>
      </c>
      <c r="E25" s="10">
        <v>1.5630389000000001E-2</v>
      </c>
      <c r="F25" s="10">
        <v>0</v>
      </c>
      <c r="G25" s="17">
        <v>0</v>
      </c>
      <c r="H25" s="9">
        <v>1985</v>
      </c>
      <c r="I25" s="10">
        <v>23.305541627</v>
      </c>
      <c r="J25" s="10">
        <v>-5.5144038530000001</v>
      </c>
      <c r="K25"/>
      <c r="L25"/>
      <c r="M25" s="9">
        <v>15</v>
      </c>
      <c r="N25" s="10">
        <v>-8.4721087140000009</v>
      </c>
      <c r="O25" s="10">
        <v>1.3756766E-2</v>
      </c>
      <c r="P25" s="10">
        <v>-0.10639642000000001</v>
      </c>
      <c r="Q25" s="10">
        <v>1.3177449000000001E-2</v>
      </c>
      <c r="R25" s="10">
        <v>0</v>
      </c>
      <c r="S25"/>
      <c r="T25" s="9">
        <v>1985</v>
      </c>
      <c r="U25" s="10">
        <v>18.896102733999999</v>
      </c>
      <c r="V25" s="10">
        <v>-9.0045464559999999</v>
      </c>
      <c r="W25"/>
      <c r="X25"/>
      <c r="Y25"/>
      <c r="Z25"/>
      <c r="AA25"/>
      <c r="AB25"/>
      <c r="AC25"/>
    </row>
    <row r="26" spans="1:29" ht="12.6" customHeight="1" x14ac:dyDescent="0.25">
      <c r="A26" s="9">
        <v>16</v>
      </c>
      <c r="B26" s="10">
        <v>-7.6236883249999998</v>
      </c>
      <c r="C26" s="10">
        <v>1.5708499000000001E-2</v>
      </c>
      <c r="D26" s="10">
        <v>-0.116933939</v>
      </c>
      <c r="E26" s="10">
        <v>2.7830664000000001E-2</v>
      </c>
      <c r="F26" s="10">
        <v>0</v>
      </c>
      <c r="G26" s="17">
        <v>0</v>
      </c>
      <c r="H26" s="9">
        <v>1986</v>
      </c>
      <c r="I26" s="10">
        <v>20.960761417000001</v>
      </c>
      <c r="J26" s="10">
        <v>-4.2148962299999999</v>
      </c>
      <c r="K26"/>
      <c r="L26"/>
      <c r="M26" s="9">
        <v>16</v>
      </c>
      <c r="N26" s="10">
        <v>-8.2759088139999992</v>
      </c>
      <c r="O26" s="10">
        <v>1.4162877000000001E-2</v>
      </c>
      <c r="P26" s="10">
        <v>-8.7293697000000003E-2</v>
      </c>
      <c r="Q26" s="10">
        <v>1.0266139000000001E-2</v>
      </c>
      <c r="R26" s="10">
        <v>0</v>
      </c>
      <c r="S26"/>
      <c r="T26" s="9">
        <v>1986</v>
      </c>
      <c r="U26" s="10">
        <v>16.537559428000002</v>
      </c>
      <c r="V26" s="10">
        <v>-7.5224875969999996</v>
      </c>
      <c r="W26"/>
      <c r="X26"/>
      <c r="Y26"/>
      <c r="Z26"/>
      <c r="AA26"/>
      <c r="AB26"/>
      <c r="AC26"/>
    </row>
    <row r="27" spans="1:29" ht="12.6" customHeight="1" x14ac:dyDescent="0.25">
      <c r="A27" s="9">
        <v>17</v>
      </c>
      <c r="B27" s="10">
        <v>-7.3488814439999999</v>
      </c>
      <c r="C27" s="10">
        <v>1.5800411E-2</v>
      </c>
      <c r="D27" s="10">
        <v>-0.28728358500000001</v>
      </c>
      <c r="E27" s="10">
        <v>2.5006403E-2</v>
      </c>
      <c r="F27" s="10">
        <v>0</v>
      </c>
      <c r="G27" s="17">
        <v>0</v>
      </c>
      <c r="H27" s="9">
        <v>1987</v>
      </c>
      <c r="I27" s="10">
        <v>17.141483827999998</v>
      </c>
      <c r="J27" s="10">
        <v>-4.557826607</v>
      </c>
      <c r="K27"/>
      <c r="L27"/>
      <c r="M27" s="9">
        <v>17</v>
      </c>
      <c r="N27" s="10">
        <v>-8.1670519650000006</v>
      </c>
      <c r="O27" s="10">
        <v>1.3987543999999999E-2</v>
      </c>
      <c r="P27" s="10">
        <v>-0.131614911</v>
      </c>
      <c r="Q27" s="10">
        <v>2.6397614E-2</v>
      </c>
      <c r="R27" s="10">
        <v>0</v>
      </c>
      <c r="S27"/>
      <c r="T27" s="9">
        <v>1987</v>
      </c>
      <c r="U27" s="10">
        <v>11.935545035000001</v>
      </c>
      <c r="V27" s="10">
        <v>-8.1535781180000004</v>
      </c>
      <c r="W27"/>
      <c r="X27"/>
      <c r="Y27"/>
      <c r="Z27"/>
      <c r="AA27"/>
      <c r="AB27"/>
      <c r="AC27"/>
    </row>
    <row r="28" spans="1:29" ht="12.6" customHeight="1" x14ac:dyDescent="0.25">
      <c r="A28" s="9">
        <v>18</v>
      </c>
      <c r="B28" s="10">
        <v>-7.0393885239999996</v>
      </c>
      <c r="C28" s="10">
        <v>1.414282E-2</v>
      </c>
      <c r="D28" s="10">
        <v>-0.47378667499999999</v>
      </c>
      <c r="E28" s="10">
        <v>2.6789133E-2</v>
      </c>
      <c r="F28" s="10">
        <v>0</v>
      </c>
      <c r="G28" s="17">
        <v>0</v>
      </c>
      <c r="H28" s="9">
        <v>1988</v>
      </c>
      <c r="I28" s="10">
        <v>15.236186069</v>
      </c>
      <c r="J28" s="10">
        <v>-3.444671649</v>
      </c>
      <c r="K28"/>
      <c r="L28"/>
      <c r="M28" s="9">
        <v>18</v>
      </c>
      <c r="N28" s="10">
        <v>-7.9961592460000004</v>
      </c>
      <c r="O28" s="10">
        <v>1.2211697000000001E-2</v>
      </c>
      <c r="P28" s="10">
        <v>-0.25924135999999998</v>
      </c>
      <c r="Q28" s="10">
        <v>5.4008699999999997E-4</v>
      </c>
      <c r="R28" s="10">
        <v>0</v>
      </c>
      <c r="S28"/>
      <c r="T28" s="9">
        <v>1988</v>
      </c>
      <c r="U28" s="10">
        <v>10.414280866</v>
      </c>
      <c r="V28" s="10">
        <v>-7.2313659049999996</v>
      </c>
      <c r="W28"/>
      <c r="X28"/>
      <c r="Y28"/>
      <c r="Z28"/>
      <c r="AA28"/>
      <c r="AB28"/>
      <c r="AC28"/>
    </row>
    <row r="29" spans="1:29" ht="12.6" customHeight="1" x14ac:dyDescent="0.25">
      <c r="A29" s="9">
        <v>19</v>
      </c>
      <c r="B29" s="10">
        <v>-6.969732692</v>
      </c>
      <c r="C29" s="10">
        <v>1.3500765E-2</v>
      </c>
      <c r="D29" s="10">
        <v>-0.39238042000000001</v>
      </c>
      <c r="E29" s="10">
        <v>2.6862914000000002E-2</v>
      </c>
      <c r="F29" s="10">
        <v>0</v>
      </c>
      <c r="G29" s="17">
        <v>0</v>
      </c>
      <c r="H29" s="9">
        <v>1989</v>
      </c>
      <c r="I29" s="10">
        <v>13.886440327000001</v>
      </c>
      <c r="J29" s="10">
        <v>-1.5636117389999999</v>
      </c>
      <c r="K29"/>
      <c r="L29"/>
      <c r="M29" s="9">
        <v>19</v>
      </c>
      <c r="N29" s="10">
        <v>-7.989806239</v>
      </c>
      <c r="O29" s="10">
        <v>1.1860215E-2</v>
      </c>
      <c r="P29" s="10">
        <v>-0.23559886199999999</v>
      </c>
      <c r="Q29" s="10">
        <v>1.3562158E-2</v>
      </c>
      <c r="R29" s="10">
        <v>0</v>
      </c>
      <c r="S29"/>
      <c r="T29" s="9">
        <v>1989</v>
      </c>
      <c r="U29" s="10">
        <v>9.6168160510000007</v>
      </c>
      <c r="V29" s="10">
        <v>-5.3138733340000002</v>
      </c>
      <c r="W29"/>
      <c r="X29"/>
      <c r="Y29"/>
      <c r="Z29"/>
      <c r="AA29"/>
      <c r="AB29"/>
      <c r="AC29"/>
    </row>
    <row r="30" spans="1:29" ht="12.6" customHeight="1" x14ac:dyDescent="0.25">
      <c r="A30" s="9">
        <v>20</v>
      </c>
      <c r="B30" s="10">
        <v>-6.9474767430000002</v>
      </c>
      <c r="C30" s="10">
        <v>1.2380083E-2</v>
      </c>
      <c r="D30" s="10">
        <v>-0.39788662200000002</v>
      </c>
      <c r="E30" s="10">
        <v>1.9336704E-2</v>
      </c>
      <c r="F30" s="10">
        <v>0</v>
      </c>
      <c r="G30" s="17">
        <v>0</v>
      </c>
      <c r="H30" s="9">
        <v>1990</v>
      </c>
      <c r="I30" s="10">
        <v>13.991217862999999</v>
      </c>
      <c r="J30" s="10">
        <v>-2.3690919369999999</v>
      </c>
      <c r="K30"/>
      <c r="L30"/>
      <c r="M30" s="9">
        <v>20</v>
      </c>
      <c r="N30" s="10">
        <v>-7.9947876710000001</v>
      </c>
      <c r="O30" s="10">
        <v>1.165705E-2</v>
      </c>
      <c r="P30" s="10">
        <v>-0.216141307</v>
      </c>
      <c r="Q30" s="10">
        <v>6.7914810000000003E-3</v>
      </c>
      <c r="R30" s="10">
        <v>0</v>
      </c>
      <c r="S30"/>
      <c r="T30" s="9">
        <v>1990</v>
      </c>
      <c r="U30" s="10">
        <v>10.395330265</v>
      </c>
      <c r="V30" s="10">
        <v>-6.8241518010000002</v>
      </c>
      <c r="W30"/>
      <c r="X30"/>
      <c r="Y30"/>
      <c r="Z30"/>
      <c r="AA30"/>
      <c r="AB30"/>
      <c r="AC30"/>
    </row>
    <row r="31" spans="1:29" ht="12.6" customHeight="1" x14ac:dyDescent="0.25">
      <c r="A31" s="9">
        <v>21</v>
      </c>
      <c r="B31" s="10">
        <v>-6.9393524360000001</v>
      </c>
      <c r="C31" s="10">
        <v>1.1731844999999999E-2</v>
      </c>
      <c r="D31" s="10">
        <v>-0.39582845900000002</v>
      </c>
      <c r="E31" s="10">
        <v>1.4749055E-2</v>
      </c>
      <c r="F31" s="10">
        <v>0</v>
      </c>
      <c r="G31" s="17">
        <v>0</v>
      </c>
      <c r="H31" s="9">
        <v>1991</v>
      </c>
      <c r="I31" s="10">
        <v>12.018432974</v>
      </c>
      <c r="J31" s="10">
        <v>-2.1095640919999998</v>
      </c>
      <c r="K31"/>
      <c r="L31"/>
      <c r="M31" s="9">
        <v>21</v>
      </c>
      <c r="N31" s="10">
        <v>-8.0063463509999995</v>
      </c>
      <c r="O31" s="10">
        <v>1.1478888E-2</v>
      </c>
      <c r="P31" s="10">
        <v>-0.18404311500000001</v>
      </c>
      <c r="Q31" s="10">
        <v>7.4697160000000004E-3</v>
      </c>
      <c r="R31" s="10">
        <v>0</v>
      </c>
      <c r="S31"/>
      <c r="T31" s="9">
        <v>1991</v>
      </c>
      <c r="U31" s="10">
        <v>8.2833565300000007</v>
      </c>
      <c r="V31" s="10">
        <v>-5.7458948559999996</v>
      </c>
      <c r="W31"/>
      <c r="X31"/>
      <c r="Y31"/>
      <c r="Z31"/>
      <c r="AA31"/>
      <c r="AB31"/>
      <c r="AC31"/>
    </row>
    <row r="32" spans="1:29" ht="12.6" customHeight="1" x14ac:dyDescent="0.25">
      <c r="A32" s="9">
        <v>22</v>
      </c>
      <c r="B32" s="10">
        <v>-6.9513768090000001</v>
      </c>
      <c r="C32" s="10">
        <v>1.1140376E-2</v>
      </c>
      <c r="D32" s="10">
        <v>-0.41376593099999998</v>
      </c>
      <c r="E32" s="10">
        <v>1.1261581999999999E-2</v>
      </c>
      <c r="F32" s="10">
        <v>0</v>
      </c>
      <c r="G32" s="17">
        <v>0</v>
      </c>
      <c r="H32" s="9">
        <v>1992</v>
      </c>
      <c r="I32" s="10">
        <v>9.0647939260000001</v>
      </c>
      <c r="J32" s="10">
        <v>-1.4940304600000001</v>
      </c>
      <c r="K32"/>
      <c r="L32"/>
      <c r="M32" s="9">
        <v>22</v>
      </c>
      <c r="N32" s="10">
        <v>-8.0053148939999996</v>
      </c>
      <c r="O32" s="10">
        <v>1.1059137E-2</v>
      </c>
      <c r="P32" s="10">
        <v>-0.16210570799999999</v>
      </c>
      <c r="Q32" s="10">
        <v>8.8624419999999999E-3</v>
      </c>
      <c r="R32" s="10">
        <v>0</v>
      </c>
      <c r="S32"/>
      <c r="T32" s="9">
        <v>1992</v>
      </c>
      <c r="U32" s="10">
        <v>4.8182695510000002</v>
      </c>
      <c r="V32" s="10">
        <v>-4.653182427</v>
      </c>
      <c r="W32"/>
      <c r="X32"/>
      <c r="Y32"/>
      <c r="Z32"/>
      <c r="AA32"/>
      <c r="AB32"/>
      <c r="AC32"/>
    </row>
    <row r="33" spans="1:22" ht="12.6" customHeight="1" x14ac:dyDescent="0.25">
      <c r="A33" s="9">
        <v>23</v>
      </c>
      <c r="B33" s="10">
        <v>-6.9619342240000002</v>
      </c>
      <c r="C33" s="10">
        <v>1.0089997999999999E-2</v>
      </c>
      <c r="D33" s="10">
        <v>-0.36522465100000001</v>
      </c>
      <c r="E33" s="10">
        <v>8.2785280000000003E-3</v>
      </c>
      <c r="F33" s="10">
        <v>0</v>
      </c>
      <c r="G33" s="17">
        <v>0</v>
      </c>
      <c r="H33" s="9">
        <v>1993</v>
      </c>
      <c r="I33" s="10">
        <v>9.2088765630000005</v>
      </c>
      <c r="J33" s="10">
        <v>1.395426093</v>
      </c>
      <c r="K33"/>
      <c r="L33"/>
      <c r="M33" s="9">
        <v>23</v>
      </c>
      <c r="N33" s="10">
        <v>-7.9956818460000001</v>
      </c>
      <c r="O33" s="10">
        <v>1.0828341E-2</v>
      </c>
      <c r="P33" s="10">
        <v>-0.14081506599999999</v>
      </c>
      <c r="Q33" s="10">
        <v>1.2401400000000001E-4</v>
      </c>
      <c r="R33" s="10">
        <v>0</v>
      </c>
      <c r="S33"/>
      <c r="T33" s="9">
        <v>1993</v>
      </c>
      <c r="U33" s="10">
        <v>5.4837813390000001</v>
      </c>
      <c r="V33" s="10">
        <v>-2.3555064460000001</v>
      </c>
    </row>
    <row r="34" spans="1:22" ht="12.6" customHeight="1" x14ac:dyDescent="0.25">
      <c r="A34" s="9">
        <v>24</v>
      </c>
      <c r="B34" s="10">
        <v>-6.9734872819999998</v>
      </c>
      <c r="C34" s="10">
        <v>9.2280699999999997E-3</v>
      </c>
      <c r="D34" s="10">
        <v>-0.36535630800000002</v>
      </c>
      <c r="E34" s="10">
        <v>1.6519737999999999E-2</v>
      </c>
      <c r="F34" s="10">
        <v>0</v>
      </c>
      <c r="G34" s="17">
        <v>0</v>
      </c>
      <c r="H34" s="9">
        <v>1994</v>
      </c>
      <c r="I34" s="10">
        <v>4.9001640369999997</v>
      </c>
      <c r="J34" s="10">
        <v>-2.1059903000000001E-2</v>
      </c>
      <c r="K34"/>
      <c r="L34"/>
      <c r="M34" s="9">
        <v>24</v>
      </c>
      <c r="N34" s="10">
        <v>-7.9804600240000001</v>
      </c>
      <c r="O34" s="10">
        <v>1.0944364E-2</v>
      </c>
      <c r="P34" s="10">
        <v>-0.192843184</v>
      </c>
      <c r="Q34" s="10">
        <v>2.0374109999999998E-3</v>
      </c>
      <c r="R34" s="10">
        <v>0</v>
      </c>
      <c r="S34"/>
      <c r="T34" s="9">
        <v>1994</v>
      </c>
      <c r="U34" s="10">
        <v>1.008906289</v>
      </c>
      <c r="V34" s="10">
        <v>-1.7244094720000001</v>
      </c>
    </row>
    <row r="35" spans="1:22" ht="12.6" customHeight="1" x14ac:dyDescent="0.25">
      <c r="A35" s="9">
        <v>25</v>
      </c>
      <c r="B35" s="10">
        <v>-6.9733081490000002</v>
      </c>
      <c r="C35" s="10">
        <v>8.63038E-3</v>
      </c>
      <c r="D35" s="10">
        <v>-0.37714278899999998</v>
      </c>
      <c r="E35" s="10">
        <v>2.217868E-3</v>
      </c>
      <c r="F35" s="10">
        <v>0</v>
      </c>
      <c r="G35" s="17">
        <v>0</v>
      </c>
      <c r="H35" s="9">
        <v>1995</v>
      </c>
      <c r="I35" s="10">
        <v>4.6573933250000001</v>
      </c>
      <c r="J35" s="10">
        <v>1.048297612</v>
      </c>
      <c r="K35"/>
      <c r="L35"/>
      <c r="M35" s="9">
        <v>25</v>
      </c>
      <c r="N35" s="10">
        <v>-7.944194424</v>
      </c>
      <c r="O35" s="10">
        <v>1.0754365E-2</v>
      </c>
      <c r="P35" s="10">
        <v>-0.121220932</v>
      </c>
      <c r="Q35" s="10">
        <v>2.307955E-3</v>
      </c>
      <c r="R35" s="10">
        <v>0</v>
      </c>
      <c r="S35"/>
      <c r="T35" s="9">
        <v>1995</v>
      </c>
      <c r="U35" s="10">
        <v>0.70542608600000001</v>
      </c>
      <c r="V35" s="10">
        <v>-1.8221829599999999</v>
      </c>
    </row>
    <row r="36" spans="1:22" ht="12.6" customHeight="1" x14ac:dyDescent="0.25">
      <c r="A36" s="9">
        <v>26</v>
      </c>
      <c r="B36" s="10">
        <v>-6.9649267010000004</v>
      </c>
      <c r="C36" s="10">
        <v>8.3325050000000005E-3</v>
      </c>
      <c r="D36" s="10">
        <v>-0.36647090100000002</v>
      </c>
      <c r="E36" s="10">
        <v>1.7709511000000001E-2</v>
      </c>
      <c r="F36" s="10">
        <v>0</v>
      </c>
      <c r="G36" s="17">
        <v>0</v>
      </c>
      <c r="H36" s="9">
        <v>1996</v>
      </c>
      <c r="I36" s="10">
        <v>2.2476161189999999</v>
      </c>
      <c r="J36" s="10">
        <v>2.3745060699999998</v>
      </c>
      <c r="K36"/>
      <c r="L36"/>
      <c r="M36" s="9">
        <v>26</v>
      </c>
      <c r="N36" s="10">
        <v>-7.90248624</v>
      </c>
      <c r="O36" s="10">
        <v>1.0337219E-2</v>
      </c>
      <c r="P36" s="10">
        <v>-0.14681532799999999</v>
      </c>
      <c r="Q36" s="10">
        <v>2.6769039999999999E-3</v>
      </c>
      <c r="R36" s="10">
        <v>0</v>
      </c>
      <c r="S36"/>
      <c r="T36" s="9">
        <v>1996</v>
      </c>
      <c r="U36" s="10">
        <v>-1.043659194</v>
      </c>
      <c r="V36" s="10">
        <v>-0.53692779400000001</v>
      </c>
    </row>
    <row r="37" spans="1:22" ht="12.6" customHeight="1" x14ac:dyDescent="0.25">
      <c r="A37" s="9">
        <v>27</v>
      </c>
      <c r="B37" s="10">
        <v>-6.9536655329999997</v>
      </c>
      <c r="C37" s="10">
        <v>8.3133489999999994E-3</v>
      </c>
      <c r="D37" s="10">
        <v>-0.41861760399999998</v>
      </c>
      <c r="E37" s="10">
        <v>5.1485749999999999E-3</v>
      </c>
      <c r="F37" s="10">
        <v>0</v>
      </c>
      <c r="G37" s="17">
        <v>0</v>
      </c>
      <c r="H37" s="9">
        <v>1997</v>
      </c>
      <c r="I37" s="10">
        <v>-1.289708195</v>
      </c>
      <c r="J37" s="10">
        <v>1.7676316700000001</v>
      </c>
      <c r="K37"/>
      <c r="L37"/>
      <c r="M37" s="9">
        <v>27</v>
      </c>
      <c r="N37" s="10">
        <v>-7.8564597489999999</v>
      </c>
      <c r="O37" s="10">
        <v>1.0155938E-2</v>
      </c>
      <c r="P37" s="10">
        <v>-0.12013792099999999</v>
      </c>
      <c r="Q37" s="10">
        <v>5.8774370000000001E-3</v>
      </c>
      <c r="R37" s="10">
        <v>0</v>
      </c>
      <c r="S37"/>
      <c r="T37" s="9">
        <v>1997</v>
      </c>
      <c r="U37" s="10">
        <v>-3.8848183889999999</v>
      </c>
      <c r="V37" s="10">
        <v>-0.119240018</v>
      </c>
    </row>
    <row r="38" spans="1:22" ht="12.6" customHeight="1" x14ac:dyDescent="0.25">
      <c r="A38" s="9">
        <v>28</v>
      </c>
      <c r="B38" s="10">
        <v>-6.9304962879999996</v>
      </c>
      <c r="C38" s="10">
        <v>8.003675E-3</v>
      </c>
      <c r="D38" s="10">
        <v>-0.37492579999999998</v>
      </c>
      <c r="E38" s="10">
        <v>4.3985860000000003E-3</v>
      </c>
      <c r="F38" s="10">
        <v>0</v>
      </c>
      <c r="G38" s="17">
        <v>0</v>
      </c>
      <c r="H38" s="9">
        <v>1998</v>
      </c>
      <c r="I38" s="10">
        <v>-3.3215542889999998</v>
      </c>
      <c r="J38" s="10">
        <v>2.6834897739999999</v>
      </c>
      <c r="K38"/>
      <c r="L38"/>
      <c r="M38" s="9">
        <v>28</v>
      </c>
      <c r="N38" s="10">
        <v>-7.8052383709999997</v>
      </c>
      <c r="O38" s="10">
        <v>9.9199149999999996E-3</v>
      </c>
      <c r="P38" s="10">
        <v>-9.0122766000000007E-2</v>
      </c>
      <c r="Q38" s="10">
        <v>8.5376810000000001E-3</v>
      </c>
      <c r="R38" s="10">
        <v>0</v>
      </c>
      <c r="S38"/>
      <c r="T38" s="9">
        <v>1998</v>
      </c>
      <c r="U38" s="10">
        <v>-5.7798324790000004</v>
      </c>
      <c r="V38" s="10">
        <v>0.822162791</v>
      </c>
    </row>
    <row r="39" spans="1:22" ht="12.6" customHeight="1" x14ac:dyDescent="0.25">
      <c r="A39" s="9">
        <v>29</v>
      </c>
      <c r="B39" s="10">
        <v>-6.8977362639999997</v>
      </c>
      <c r="C39" s="10">
        <v>8.072849E-3</v>
      </c>
      <c r="D39" s="10">
        <v>-0.36002864200000001</v>
      </c>
      <c r="E39" s="10">
        <v>2.3211199999999999E-3</v>
      </c>
      <c r="F39" s="10">
        <v>0</v>
      </c>
      <c r="G39" s="17">
        <v>0</v>
      </c>
      <c r="H39" s="9">
        <v>1999</v>
      </c>
      <c r="I39" s="10">
        <v>-5.3819884790000003</v>
      </c>
      <c r="J39" s="10">
        <v>3.3926830699999999</v>
      </c>
      <c r="K39"/>
      <c r="L39"/>
      <c r="M39" s="9">
        <v>29</v>
      </c>
      <c r="N39" s="10">
        <v>-7.740419148</v>
      </c>
      <c r="O39" s="10">
        <v>9.7509280000000007E-3</v>
      </c>
      <c r="P39" s="10">
        <v>-7.4202175999999995E-2</v>
      </c>
      <c r="Q39" s="10">
        <v>7.3810719999999998E-3</v>
      </c>
      <c r="R39" s="10">
        <v>0</v>
      </c>
      <c r="S39"/>
      <c r="T39" s="9">
        <v>1999</v>
      </c>
      <c r="U39" s="10">
        <v>-6.8044456740000001</v>
      </c>
      <c r="V39" s="10">
        <v>2.5620899819999998</v>
      </c>
    </row>
    <row r="40" spans="1:22" ht="12.6" customHeight="1" x14ac:dyDescent="0.25">
      <c r="A40" s="9">
        <v>30</v>
      </c>
      <c r="B40" s="10">
        <v>-6.8643618059999998</v>
      </c>
      <c r="C40" s="10">
        <v>8.044598E-3</v>
      </c>
      <c r="D40" s="10">
        <v>-0.385069838</v>
      </c>
      <c r="E40" s="10">
        <v>1.4048926999999999E-2</v>
      </c>
      <c r="F40" s="10">
        <v>0</v>
      </c>
      <c r="G40" s="17">
        <v>0</v>
      </c>
      <c r="H40" s="9">
        <v>2000</v>
      </c>
      <c r="I40" s="10">
        <v>-8.8350763489999995</v>
      </c>
      <c r="J40" s="10">
        <v>4.2286859720000001</v>
      </c>
      <c r="K40"/>
      <c r="L40"/>
      <c r="M40" s="9">
        <v>30</v>
      </c>
      <c r="N40" s="10">
        <v>-7.6695999910000001</v>
      </c>
      <c r="O40" s="10">
        <v>9.9479589999999993E-3</v>
      </c>
      <c r="P40" s="10">
        <v>-9.6763194999999996E-2</v>
      </c>
      <c r="Q40" s="10">
        <v>9.3274080000000006E-3</v>
      </c>
      <c r="R40" s="10">
        <v>0</v>
      </c>
      <c r="S40"/>
      <c r="T40" s="9">
        <v>2000</v>
      </c>
      <c r="U40" s="10">
        <v>-10.062514221000001</v>
      </c>
      <c r="V40" s="10">
        <v>3.9795701289999998</v>
      </c>
    </row>
    <row r="41" spans="1:22" ht="12.6" customHeight="1" x14ac:dyDescent="0.25">
      <c r="A41" s="9">
        <v>31</v>
      </c>
      <c r="B41" s="10">
        <v>-6.8211789820000002</v>
      </c>
      <c r="C41" s="10">
        <v>7.6945119999999997E-3</v>
      </c>
      <c r="D41" s="10">
        <v>-0.36194567700000002</v>
      </c>
      <c r="E41" s="10">
        <v>1.1066911E-2</v>
      </c>
      <c r="F41" s="10">
        <v>0</v>
      </c>
      <c r="G41" s="17">
        <v>0</v>
      </c>
      <c r="H41" s="9">
        <v>2001</v>
      </c>
      <c r="I41" s="10">
        <v>-12.085045561999999</v>
      </c>
      <c r="J41" s="10">
        <v>4.4476174769999997</v>
      </c>
      <c r="K41"/>
      <c r="L41"/>
      <c r="M41" s="9">
        <v>31</v>
      </c>
      <c r="N41" s="10">
        <v>-7.6112952009999999</v>
      </c>
      <c r="O41" s="10">
        <v>9.7646650000000005E-3</v>
      </c>
      <c r="P41" s="10">
        <v>-6.6465648000000002E-2</v>
      </c>
      <c r="Q41" s="10">
        <v>9.5579000000000001E-5</v>
      </c>
      <c r="R41" s="10">
        <v>0</v>
      </c>
      <c r="S41"/>
      <c r="T41" s="9">
        <v>2001</v>
      </c>
      <c r="U41" s="10">
        <v>-12.791958066999999</v>
      </c>
      <c r="V41" s="10">
        <v>4.9577191129999996</v>
      </c>
    </row>
    <row r="42" spans="1:22" ht="12.6" customHeight="1" x14ac:dyDescent="0.25">
      <c r="A42" s="9">
        <v>32</v>
      </c>
      <c r="B42" s="10">
        <v>-6.7774806979999997</v>
      </c>
      <c r="C42" s="10">
        <v>7.6245239999999997E-3</v>
      </c>
      <c r="D42" s="10">
        <v>-0.34524795600000002</v>
      </c>
      <c r="E42" s="10">
        <v>-5.8657800000000003E-4</v>
      </c>
      <c r="F42" s="10">
        <v>0</v>
      </c>
      <c r="G42" s="17">
        <v>0</v>
      </c>
      <c r="H42" s="9">
        <v>2002</v>
      </c>
      <c r="I42" s="10">
        <v>-13.714006344</v>
      </c>
      <c r="J42" s="10">
        <v>5.0374117849999998</v>
      </c>
      <c r="K42"/>
      <c r="L42"/>
      <c r="M42" s="9">
        <v>32</v>
      </c>
      <c r="N42" s="10">
        <v>-7.5277820880000004</v>
      </c>
      <c r="O42" s="10">
        <v>9.8328359999999993E-3</v>
      </c>
      <c r="P42" s="10">
        <v>-0.101789187</v>
      </c>
      <c r="Q42" s="10">
        <v>-1.1245039999999999E-3</v>
      </c>
      <c r="R42" s="10">
        <v>0</v>
      </c>
      <c r="S42"/>
      <c r="T42" s="9">
        <v>2002</v>
      </c>
      <c r="U42" s="10">
        <v>-13.092355281</v>
      </c>
      <c r="V42" s="10">
        <v>5.1389498690000002</v>
      </c>
    </row>
    <row r="43" spans="1:22" ht="12.6" customHeight="1" x14ac:dyDescent="0.25">
      <c r="A43" s="9">
        <v>33</v>
      </c>
      <c r="B43" s="10">
        <v>-6.7279667539999997</v>
      </c>
      <c r="C43" s="10">
        <v>7.8747799999999996E-3</v>
      </c>
      <c r="D43" s="10">
        <v>-0.35837730400000001</v>
      </c>
      <c r="E43" s="10">
        <v>8.4099689999999998E-3</v>
      </c>
      <c r="F43" s="10">
        <v>0</v>
      </c>
      <c r="G43" s="17">
        <v>0</v>
      </c>
      <c r="H43" s="9">
        <v>2003</v>
      </c>
      <c r="I43" s="10">
        <v>-15.115598356</v>
      </c>
      <c r="J43" s="10">
        <v>4.6212281089999996</v>
      </c>
      <c r="K43"/>
      <c r="L43"/>
      <c r="M43" s="9">
        <v>33</v>
      </c>
      <c r="N43" s="10">
        <v>-7.4454997499999998</v>
      </c>
      <c r="O43" s="10">
        <v>9.730509E-3</v>
      </c>
      <c r="P43" s="10">
        <v>-4.4436638000000001E-2</v>
      </c>
      <c r="Q43" s="10">
        <v>-3.295966E-3</v>
      </c>
      <c r="R43" s="10">
        <v>0</v>
      </c>
      <c r="S43"/>
      <c r="T43" s="9">
        <v>2003</v>
      </c>
      <c r="U43" s="10">
        <v>-13.488204596999999</v>
      </c>
      <c r="V43" s="10">
        <v>3.9351256979999998</v>
      </c>
    </row>
    <row r="44" spans="1:22" ht="12.6" customHeight="1" x14ac:dyDescent="0.25">
      <c r="A44" s="9">
        <v>34</v>
      </c>
      <c r="B44" s="10">
        <v>-6.670009512</v>
      </c>
      <c r="C44" s="10">
        <v>7.8227339999999996E-3</v>
      </c>
      <c r="D44" s="10">
        <v>-0.36281629799999998</v>
      </c>
      <c r="E44" s="10">
        <v>1.1021504999999999E-2</v>
      </c>
      <c r="F44" s="10">
        <v>0</v>
      </c>
      <c r="G44" s="17">
        <v>0</v>
      </c>
      <c r="H44" s="9">
        <v>2004</v>
      </c>
      <c r="I44" s="10">
        <v>-21.333604490999999</v>
      </c>
      <c r="J44" s="10">
        <v>3.5006715929999999</v>
      </c>
      <c r="K44"/>
      <c r="L44"/>
      <c r="M44" s="9">
        <v>34</v>
      </c>
      <c r="N44" s="10">
        <v>-7.3626678730000004</v>
      </c>
      <c r="O44" s="10">
        <v>9.5598950000000005E-3</v>
      </c>
      <c r="P44" s="10">
        <v>-5.8815926999999997E-2</v>
      </c>
      <c r="Q44" s="10">
        <v>6.592774E-3</v>
      </c>
      <c r="R44" s="10">
        <v>0</v>
      </c>
      <c r="S44"/>
      <c r="T44" s="9">
        <v>2004</v>
      </c>
      <c r="U44" s="10">
        <v>-20.770957692</v>
      </c>
      <c r="V44" s="10">
        <v>5.1181248640000003</v>
      </c>
    </row>
    <row r="45" spans="1:22" ht="12.6" customHeight="1" x14ac:dyDescent="0.25">
      <c r="A45" s="9">
        <v>35</v>
      </c>
      <c r="B45" s="10">
        <v>-6.6033950289999996</v>
      </c>
      <c r="C45" s="10">
        <v>7.9193679999999995E-3</v>
      </c>
      <c r="D45" s="10">
        <v>-0.34910270700000001</v>
      </c>
      <c r="E45" s="10">
        <v>3.9971479999999998E-3</v>
      </c>
      <c r="F45" s="10">
        <v>0</v>
      </c>
      <c r="G45" s="17">
        <v>0</v>
      </c>
      <c r="H45" s="9">
        <v>2005</v>
      </c>
      <c r="I45" s="10">
        <v>-23.163276754000002</v>
      </c>
      <c r="J45" s="10">
        <v>3.8035045780000001</v>
      </c>
      <c r="K45"/>
      <c r="L45"/>
      <c r="M45" s="9">
        <v>35</v>
      </c>
      <c r="N45" s="10">
        <v>-7.2733203079999997</v>
      </c>
      <c r="O45" s="10">
        <v>9.5954669999999999E-3</v>
      </c>
      <c r="P45" s="10">
        <v>-7.6542465000000004E-2</v>
      </c>
      <c r="Q45" s="10">
        <v>4.8712319999999996E-3</v>
      </c>
      <c r="R45" s="10">
        <v>0</v>
      </c>
      <c r="S45"/>
      <c r="T45" s="9">
        <v>2005</v>
      </c>
      <c r="U45" s="10">
        <v>-21.649641536000001</v>
      </c>
      <c r="V45" s="10">
        <v>3.9200670870000001</v>
      </c>
    </row>
    <row r="46" spans="1:22" ht="12.6" customHeight="1" x14ac:dyDescent="0.25">
      <c r="A46" s="9">
        <v>36</v>
      </c>
      <c r="B46" s="10">
        <v>-6.5330799089999996</v>
      </c>
      <c r="C46" s="10">
        <v>8.0181439999999996E-3</v>
      </c>
      <c r="D46" s="10">
        <v>-0.37460991300000002</v>
      </c>
      <c r="E46" s="10">
        <v>-7.1471100000000004E-4</v>
      </c>
      <c r="F46" s="10">
        <v>0</v>
      </c>
      <c r="G46" s="17">
        <v>0</v>
      </c>
      <c r="H46" s="9">
        <v>2006</v>
      </c>
      <c r="I46" s="10">
        <v>-26.946881851000001</v>
      </c>
      <c r="J46" s="10">
        <v>2.8605447129999999</v>
      </c>
      <c r="K46"/>
      <c r="L46"/>
      <c r="M46" s="9">
        <v>36</v>
      </c>
      <c r="N46" s="10">
        <v>-7.1884696459999997</v>
      </c>
      <c r="O46" s="10">
        <v>9.6812489999999994E-3</v>
      </c>
      <c r="P46" s="10">
        <v>-6.6055661000000002E-2</v>
      </c>
      <c r="Q46" s="10">
        <v>5.3166810000000002E-3</v>
      </c>
      <c r="R46" s="10">
        <v>0</v>
      </c>
      <c r="S46"/>
      <c r="T46" s="9">
        <v>2006</v>
      </c>
      <c r="U46" s="10">
        <v>-25.069577381999999</v>
      </c>
      <c r="V46" s="10">
        <v>4.6500557029999996</v>
      </c>
    </row>
    <row r="47" spans="1:22" ht="12.6" customHeight="1" x14ac:dyDescent="0.25">
      <c r="A47" s="9">
        <v>37</v>
      </c>
      <c r="B47" s="10">
        <v>-6.4592347600000002</v>
      </c>
      <c r="C47" s="10">
        <v>8.289434E-3</v>
      </c>
      <c r="D47" s="10">
        <v>-0.35846186699999999</v>
      </c>
      <c r="E47" s="10">
        <v>8.1196740000000003E-3</v>
      </c>
      <c r="F47" s="10">
        <v>0</v>
      </c>
      <c r="G47" s="17">
        <v>0</v>
      </c>
      <c r="H47" s="9">
        <v>2007</v>
      </c>
      <c r="I47" s="10">
        <v>-29.187715349000001</v>
      </c>
      <c r="J47" s="10">
        <v>1.8960965160000001</v>
      </c>
      <c r="K47"/>
      <c r="L47"/>
      <c r="M47" s="9">
        <v>37</v>
      </c>
      <c r="N47" s="10">
        <v>-7.1019692780000003</v>
      </c>
      <c r="O47" s="10">
        <v>9.4459069999999999E-3</v>
      </c>
      <c r="P47" s="10">
        <v>-8.4136226999999994E-2</v>
      </c>
      <c r="Q47" s="10">
        <v>1.2748600000000001E-2</v>
      </c>
      <c r="R47" s="10">
        <v>0</v>
      </c>
      <c r="S47"/>
      <c r="T47" s="9">
        <v>2007</v>
      </c>
      <c r="U47" s="10">
        <v>-27.080227739000001</v>
      </c>
      <c r="V47" s="10">
        <v>2.7347625529999999</v>
      </c>
    </row>
    <row r="48" spans="1:22" ht="12.6" customHeight="1" x14ac:dyDescent="0.25">
      <c r="A48" s="9">
        <v>38</v>
      </c>
      <c r="B48" s="10">
        <v>-6.3805837680000002</v>
      </c>
      <c r="C48" s="10">
        <v>8.4175120000000003E-3</v>
      </c>
      <c r="D48" s="10">
        <v>-0.36831255400000001</v>
      </c>
      <c r="E48" s="10">
        <v>1.1834266E-2</v>
      </c>
      <c r="F48" s="10">
        <v>0</v>
      </c>
      <c r="G48" s="17">
        <v>0</v>
      </c>
      <c r="H48" s="9">
        <v>2008</v>
      </c>
      <c r="I48" s="10">
        <v>-31.269373650999999</v>
      </c>
      <c r="J48" s="10">
        <v>0.94015341500000005</v>
      </c>
      <c r="K48"/>
      <c r="L48"/>
      <c r="M48" s="9">
        <v>38</v>
      </c>
      <c r="N48" s="10">
        <v>-7.0106381679999998</v>
      </c>
      <c r="O48" s="10">
        <v>9.4131059999999992E-3</v>
      </c>
      <c r="P48" s="10">
        <v>-7.6386076999999997E-2</v>
      </c>
      <c r="Q48" s="10">
        <v>9.3567849999999994E-3</v>
      </c>
      <c r="R48" s="10">
        <v>0</v>
      </c>
      <c r="S48"/>
      <c r="T48" s="9">
        <v>2008</v>
      </c>
      <c r="U48" s="10">
        <v>-27.674077104999999</v>
      </c>
      <c r="V48" s="10">
        <v>3.1407056739999999</v>
      </c>
    </row>
    <row r="49" spans="1:24" ht="12.6" customHeight="1" x14ac:dyDescent="0.25">
      <c r="A49" s="9">
        <v>39</v>
      </c>
      <c r="B49" s="10">
        <v>-6.2926661389999996</v>
      </c>
      <c r="C49" s="10">
        <v>8.4978209999999992E-3</v>
      </c>
      <c r="D49" s="10">
        <v>-0.35959023499999998</v>
      </c>
      <c r="E49" s="10">
        <v>1.5812669000000001E-2</v>
      </c>
      <c r="F49" s="10">
        <v>0</v>
      </c>
      <c r="G49" s="17">
        <v>0</v>
      </c>
      <c r="H49" s="9">
        <v>2009</v>
      </c>
      <c r="I49" s="10">
        <v>-33.658032746000003</v>
      </c>
      <c r="J49" s="10">
        <v>0.45937465300000002</v>
      </c>
      <c r="K49"/>
      <c r="L49"/>
      <c r="M49" s="9">
        <v>39</v>
      </c>
      <c r="N49" s="10">
        <v>-6.9123758510000002</v>
      </c>
      <c r="O49" s="10">
        <v>9.2383949999999999E-3</v>
      </c>
      <c r="P49" s="10">
        <v>-7.7938804E-2</v>
      </c>
      <c r="Q49" s="10">
        <v>9.1079920000000005E-3</v>
      </c>
      <c r="R49" s="10">
        <v>0</v>
      </c>
      <c r="S49"/>
      <c r="T49" s="9">
        <v>2009</v>
      </c>
      <c r="U49" s="10">
        <v>-30.200391339999999</v>
      </c>
      <c r="V49" s="10">
        <v>1.8504813710000001</v>
      </c>
      <c r="W49"/>
      <c r="X49"/>
    </row>
    <row r="50" spans="1:24" ht="12.6" customHeight="1" x14ac:dyDescent="0.25">
      <c r="A50" s="9">
        <v>40</v>
      </c>
      <c r="B50" s="10">
        <v>-6.2015671809999997</v>
      </c>
      <c r="C50" s="10">
        <v>8.7005050000000007E-3</v>
      </c>
      <c r="D50" s="10">
        <v>-0.36125579000000002</v>
      </c>
      <c r="E50" s="10">
        <v>7.2190359999999999E-3</v>
      </c>
      <c r="F50" s="10">
        <v>0</v>
      </c>
      <c r="G50" s="17">
        <v>0</v>
      </c>
      <c r="H50" s="9">
        <v>2010</v>
      </c>
      <c r="I50" s="10">
        <v>-36.090474503999999</v>
      </c>
      <c r="J50" s="10">
        <v>8.1711166000000002E-2</v>
      </c>
      <c r="K50"/>
      <c r="L50"/>
      <c r="M50" s="9">
        <v>40</v>
      </c>
      <c r="N50" s="10">
        <v>-6.8195569159999998</v>
      </c>
      <c r="O50" s="10">
        <v>9.4671990000000008E-3</v>
      </c>
      <c r="P50" s="10">
        <v>-3.9965980999999998E-2</v>
      </c>
      <c r="Q50" s="10">
        <v>8.1667830000000004E-3</v>
      </c>
      <c r="R50" s="10">
        <v>0</v>
      </c>
      <c r="S50"/>
      <c r="T50" s="9">
        <v>2010</v>
      </c>
      <c r="U50" s="10">
        <v>-32.121140981000003</v>
      </c>
      <c r="V50" s="10">
        <v>2.5956776810000002</v>
      </c>
      <c r="W50"/>
      <c r="X50"/>
    </row>
    <row r="51" spans="1:24" ht="12.6" customHeight="1" x14ac:dyDescent="0.25">
      <c r="A51" s="9">
        <v>41</v>
      </c>
      <c r="B51" s="10">
        <v>-6.1133012889999998</v>
      </c>
      <c r="C51" s="10">
        <v>8.7681319999999997E-3</v>
      </c>
      <c r="D51" s="10">
        <v>-0.35632872500000001</v>
      </c>
      <c r="E51" s="10">
        <v>8.5199049999999995E-3</v>
      </c>
      <c r="F51" s="10">
        <v>0</v>
      </c>
      <c r="G51" s="17">
        <v>0</v>
      </c>
      <c r="H51" s="9">
        <v>2011</v>
      </c>
      <c r="I51" s="10">
        <v>-40.123977175</v>
      </c>
      <c r="J51" s="10">
        <v>-1.3166163999999999E-2</v>
      </c>
      <c r="K51"/>
      <c r="L51"/>
      <c r="M51" s="9">
        <v>41</v>
      </c>
      <c r="N51" s="10">
        <v>-6.7238074430000001</v>
      </c>
      <c r="O51" s="10">
        <v>9.1398179999999992E-3</v>
      </c>
      <c r="P51" s="10">
        <v>-4.5354116999999999E-2</v>
      </c>
      <c r="Q51" s="10">
        <v>1.2834948000000001E-2</v>
      </c>
      <c r="R51" s="10">
        <v>0</v>
      </c>
      <c r="S51"/>
      <c r="T51" s="9">
        <v>2011</v>
      </c>
      <c r="U51" s="10">
        <v>-35.951329252000001</v>
      </c>
      <c r="V51" s="10">
        <v>3.986124062</v>
      </c>
      <c r="W51"/>
      <c r="X51"/>
    </row>
    <row r="52" spans="1:24" ht="12.6" customHeight="1" x14ac:dyDescent="0.25">
      <c r="A52" s="9">
        <v>42</v>
      </c>
      <c r="B52" s="10">
        <v>-6.0193264009999998</v>
      </c>
      <c r="C52" s="10">
        <v>9.0071990000000005E-3</v>
      </c>
      <c r="D52" s="10">
        <v>-0.33685551699999999</v>
      </c>
      <c r="E52" s="10">
        <v>1.3647729000000001E-2</v>
      </c>
      <c r="F52" s="10">
        <v>0</v>
      </c>
      <c r="G52" s="17">
        <v>0</v>
      </c>
      <c r="H52" s="9">
        <v>2012</v>
      </c>
      <c r="I52" s="10">
        <v>-41.116505142999998</v>
      </c>
      <c r="J52" s="10">
        <v>0.73181576800000003</v>
      </c>
      <c r="K52"/>
      <c r="L52"/>
      <c r="M52" s="9">
        <v>42</v>
      </c>
      <c r="N52" s="10">
        <v>-6.625786207</v>
      </c>
      <c r="O52" s="10">
        <v>9.1900450000000009E-3</v>
      </c>
      <c r="P52" s="10">
        <v>-4.1460750999999997E-2</v>
      </c>
      <c r="Q52" s="10">
        <v>1.3849439E-2</v>
      </c>
      <c r="R52" s="10">
        <v>0</v>
      </c>
      <c r="S52"/>
      <c r="T52" s="9">
        <v>2012</v>
      </c>
      <c r="U52" s="10">
        <v>-35.227546234999998</v>
      </c>
      <c r="V52" s="10">
        <v>3.8350995800000001</v>
      </c>
      <c r="W52"/>
      <c r="X52"/>
    </row>
    <row r="53" spans="1:24" ht="12.6" customHeight="1" x14ac:dyDescent="0.25">
      <c r="A53" s="9">
        <v>43</v>
      </c>
      <c r="B53" s="10">
        <v>-5.9234907410000002</v>
      </c>
      <c r="C53" s="10">
        <v>8.9958460000000001E-3</v>
      </c>
      <c r="D53" s="10">
        <v>-0.33390440799999999</v>
      </c>
      <c r="E53" s="10">
        <v>1.5593594000000001E-2</v>
      </c>
      <c r="F53" s="10">
        <v>0</v>
      </c>
      <c r="G53" s="17">
        <v>0</v>
      </c>
      <c r="H53" s="9">
        <v>2013</v>
      </c>
      <c r="I53" s="10">
        <v>-42.477722868999997</v>
      </c>
      <c r="J53" s="10">
        <v>-0.51801486600000002</v>
      </c>
      <c r="K53"/>
      <c r="L53"/>
      <c r="M53" s="9">
        <v>43</v>
      </c>
      <c r="N53" s="10">
        <v>-6.5219387089999996</v>
      </c>
      <c r="O53" s="10">
        <v>9.1630050000000001E-3</v>
      </c>
      <c r="P53" s="10">
        <v>-4.2127759000000001E-2</v>
      </c>
      <c r="Q53" s="10">
        <v>7.0428970000000002E-3</v>
      </c>
      <c r="R53" s="10">
        <v>0</v>
      </c>
      <c r="S53"/>
      <c r="T53" s="9">
        <v>2013</v>
      </c>
      <c r="U53" s="10">
        <v>-36.486357855999998</v>
      </c>
      <c r="V53" s="10">
        <v>3.0715420999999998</v>
      </c>
      <c r="W53"/>
      <c r="X53"/>
    </row>
    <row r="54" spans="1:24" ht="12.6" customHeight="1" x14ac:dyDescent="0.25">
      <c r="A54" s="9">
        <v>44</v>
      </c>
      <c r="B54" s="10">
        <v>-5.8300006839999998</v>
      </c>
      <c r="C54" s="10">
        <v>9.0481109999999993E-3</v>
      </c>
      <c r="D54" s="10">
        <v>-0.31832368500000002</v>
      </c>
      <c r="E54" s="10">
        <v>6.0177980000000004E-3</v>
      </c>
      <c r="F54" s="10">
        <v>0</v>
      </c>
      <c r="G54" s="17">
        <v>0</v>
      </c>
      <c r="H54" s="9">
        <v>2014</v>
      </c>
      <c r="I54" s="10">
        <v>-46.983213061999997</v>
      </c>
      <c r="J54" s="10">
        <v>-1.3807958339999999</v>
      </c>
      <c r="K54"/>
      <c r="L54"/>
      <c r="M54" s="9">
        <v>44</v>
      </c>
      <c r="N54" s="10">
        <v>-6.4293173560000003</v>
      </c>
      <c r="O54" s="10">
        <v>9.0478480000000007E-3</v>
      </c>
      <c r="P54" s="10">
        <v>-3.0188724E-2</v>
      </c>
      <c r="Q54" s="10">
        <v>1.5839714000000001E-2</v>
      </c>
      <c r="R54" s="10">
        <v>0</v>
      </c>
      <c r="S54"/>
      <c r="T54" s="9">
        <v>2014</v>
      </c>
      <c r="U54" s="10">
        <v>-41.251659576000002</v>
      </c>
      <c r="V54" s="10">
        <v>3.751526261</v>
      </c>
      <c r="W54"/>
      <c r="X54"/>
    </row>
    <row r="55" spans="1:24" ht="12.6" customHeight="1" x14ac:dyDescent="0.25">
      <c r="A55" s="9">
        <v>45</v>
      </c>
      <c r="B55" s="10">
        <v>-5.7303574939999997</v>
      </c>
      <c r="C55" s="10">
        <v>9.092157E-3</v>
      </c>
      <c r="D55" s="10">
        <v>-0.33850817300000002</v>
      </c>
      <c r="E55" s="10">
        <v>7.358837E-3</v>
      </c>
      <c r="F55" s="10">
        <v>0</v>
      </c>
      <c r="G55" s="17">
        <v>0</v>
      </c>
      <c r="H55" s="9">
        <v>2015</v>
      </c>
      <c r="I55" s="10">
        <v>-44.835858979999998</v>
      </c>
      <c r="J55" s="10">
        <v>-0.74743787799999994</v>
      </c>
      <c r="K55"/>
      <c r="L55"/>
      <c r="M55" s="9">
        <v>45</v>
      </c>
      <c r="N55" s="10">
        <v>-6.3315743959999997</v>
      </c>
      <c r="O55" s="10">
        <v>8.8554540000000005E-3</v>
      </c>
      <c r="P55" s="10">
        <v>-3.0597473E-2</v>
      </c>
      <c r="Q55" s="10">
        <v>9.7725320000000004E-3</v>
      </c>
      <c r="R55" s="10">
        <v>0</v>
      </c>
      <c r="S55"/>
      <c r="T55" s="9">
        <v>2015</v>
      </c>
      <c r="U55" s="10">
        <v>-37.883035387</v>
      </c>
      <c r="V55" s="10">
        <v>3.6699586449999999</v>
      </c>
      <c r="W55"/>
      <c r="X55"/>
    </row>
    <row r="56" spans="1:24" ht="12.6" customHeight="1" x14ac:dyDescent="0.25">
      <c r="A56" s="9">
        <v>46</v>
      </c>
      <c r="B56" s="10">
        <v>-5.6370527030000002</v>
      </c>
      <c r="C56" s="10">
        <v>9.1443840000000002E-3</v>
      </c>
      <c r="D56" s="10">
        <v>-0.331832403</v>
      </c>
      <c r="E56" s="10">
        <v>8.5115799999999995E-3</v>
      </c>
      <c r="F56" s="10">
        <v>0</v>
      </c>
      <c r="G56" s="17">
        <v>0</v>
      </c>
      <c r="H56" s="9">
        <v>2016</v>
      </c>
      <c r="I56" s="10">
        <v>-47.657317390000003</v>
      </c>
      <c r="J56" s="10">
        <v>-0.358437171</v>
      </c>
      <c r="K56"/>
      <c r="L56"/>
      <c r="M56" s="9">
        <v>46</v>
      </c>
      <c r="N56" s="10">
        <v>-6.2353609959999998</v>
      </c>
      <c r="O56" s="10">
        <v>8.7346639999999996E-3</v>
      </c>
      <c r="P56" s="10">
        <v>-5.4023000000000005E-4</v>
      </c>
      <c r="Q56" s="10">
        <v>1.7570224999999998E-2</v>
      </c>
      <c r="R56" s="10">
        <v>0</v>
      </c>
      <c r="S56"/>
      <c r="T56" s="9">
        <v>2016</v>
      </c>
      <c r="U56" s="10">
        <v>-40.929740295999999</v>
      </c>
      <c r="V56" s="10">
        <v>5.0554499530000001</v>
      </c>
      <c r="W56"/>
      <c r="X56"/>
    </row>
    <row r="57" spans="1:24" ht="12.6" customHeight="1" x14ac:dyDescent="0.25">
      <c r="A57" s="9">
        <v>47</v>
      </c>
      <c r="B57" s="10">
        <v>-5.5399230929999996</v>
      </c>
      <c r="C57" s="10">
        <v>9.0779720000000001E-3</v>
      </c>
      <c r="D57" s="10">
        <v>-0.30738785899999999</v>
      </c>
      <c r="E57" s="10">
        <v>1.9439120000000001E-2</v>
      </c>
      <c r="F57" s="10">
        <v>0</v>
      </c>
      <c r="G57" s="17">
        <v>0</v>
      </c>
      <c r="H57" s="9">
        <v>2017</v>
      </c>
      <c r="I57" s="10">
        <v>-49.023308139999997</v>
      </c>
      <c r="J57" s="10">
        <v>-0.91965874800000003</v>
      </c>
      <c r="K57"/>
      <c r="L57"/>
      <c r="M57" s="9">
        <v>47</v>
      </c>
      <c r="N57" s="10">
        <v>-6.1394447660000004</v>
      </c>
      <c r="O57" s="10">
        <v>8.7593159999999996E-3</v>
      </c>
      <c r="P57" s="10">
        <v>-3.4500440000000002E-3</v>
      </c>
      <c r="Q57" s="10">
        <v>1.7501200000000001E-2</v>
      </c>
      <c r="R57" s="10">
        <v>0</v>
      </c>
      <c r="S57"/>
      <c r="T57" s="9">
        <v>2017</v>
      </c>
      <c r="U57" s="10">
        <v>-41.336227004000001</v>
      </c>
      <c r="V57" s="10">
        <v>4.2146779690000002</v>
      </c>
      <c r="W57"/>
      <c r="X57"/>
    </row>
    <row r="58" spans="1:24" ht="12.6" customHeight="1" x14ac:dyDescent="0.25">
      <c r="A58" s="9">
        <v>48</v>
      </c>
      <c r="B58" s="10">
        <v>-5.446960271</v>
      </c>
      <c r="C58" s="10">
        <v>9.1089359999999998E-3</v>
      </c>
      <c r="D58" s="10">
        <v>-0.29176415100000003</v>
      </c>
      <c r="E58" s="10">
        <v>6.6096890000000002E-3</v>
      </c>
      <c r="F58" s="10">
        <v>0</v>
      </c>
      <c r="G58" s="17">
        <v>0</v>
      </c>
      <c r="H58" s="9">
        <v>2018</v>
      </c>
      <c r="I58" s="10">
        <v>-49.591571913999999</v>
      </c>
      <c r="J58" s="10">
        <v>-1.3495637229999999</v>
      </c>
      <c r="K58"/>
      <c r="L58"/>
      <c r="M58" s="9">
        <v>48</v>
      </c>
      <c r="N58" s="10">
        <v>-6.0452910449999999</v>
      </c>
      <c r="O58" s="10">
        <v>8.7897819999999995E-3</v>
      </c>
      <c r="P58" s="10">
        <v>-1.294501E-3</v>
      </c>
      <c r="Q58" s="10">
        <v>1.4607391000000001E-2</v>
      </c>
      <c r="R58" s="10">
        <v>0</v>
      </c>
      <c r="S58"/>
      <c r="T58" s="9">
        <v>2018</v>
      </c>
      <c r="U58" s="10">
        <v>-41.716682126000002</v>
      </c>
      <c r="V58" s="10">
        <v>4.6764632869999998</v>
      </c>
      <c r="W58"/>
      <c r="X58"/>
    </row>
    <row r="59" spans="1:24" ht="12.6" customHeight="1" x14ac:dyDescent="0.25">
      <c r="A59" s="9">
        <v>49</v>
      </c>
      <c r="B59" s="10">
        <v>-5.3469972180000003</v>
      </c>
      <c r="C59" s="10">
        <v>9.1086359999999998E-3</v>
      </c>
      <c r="D59" s="10">
        <v>-0.29292829300000001</v>
      </c>
      <c r="E59" s="10">
        <v>1.0239145E-2</v>
      </c>
      <c r="F59" s="10">
        <v>0</v>
      </c>
      <c r="G59" s="17">
        <v>0</v>
      </c>
      <c r="H59" s="9">
        <v>2019</v>
      </c>
      <c r="I59" s="10">
        <v>-52.915347412000003</v>
      </c>
      <c r="J59" s="10">
        <v>-1.420665372</v>
      </c>
      <c r="K59"/>
      <c r="L59"/>
      <c r="M59" s="9">
        <v>49</v>
      </c>
      <c r="N59" s="10">
        <v>-5.9546602809999998</v>
      </c>
      <c r="O59" s="10">
        <v>8.7188509999999997E-3</v>
      </c>
      <c r="P59" s="10">
        <v>-1.1104709000000001E-2</v>
      </c>
      <c r="Q59" s="10">
        <v>1.5650289000000001E-2</v>
      </c>
      <c r="R59" s="10">
        <v>0</v>
      </c>
      <c r="S59"/>
      <c r="T59" s="9">
        <v>2019</v>
      </c>
      <c r="U59" s="10">
        <v>-45.083984966999999</v>
      </c>
      <c r="V59" s="10">
        <v>4.5930709639999998</v>
      </c>
      <c r="W59"/>
      <c r="X59"/>
    </row>
    <row r="60" spans="1:24" ht="12.6" customHeight="1" x14ac:dyDescent="0.25">
      <c r="A60" s="9">
        <v>50</v>
      </c>
      <c r="B60" s="10">
        <v>-5.246927973</v>
      </c>
      <c r="C60" s="10">
        <v>9.2424710000000004E-3</v>
      </c>
      <c r="D60" s="10">
        <v>-0.28224259299999999</v>
      </c>
      <c r="E60" s="10">
        <v>7.7465019999999997E-3</v>
      </c>
      <c r="F60" s="10">
        <v>0</v>
      </c>
      <c r="G60" s="17">
        <v>0</v>
      </c>
      <c r="H60" s="13">
        <v>2022</v>
      </c>
      <c r="I60" s="14"/>
      <c r="J60" s="14"/>
      <c r="K60" s="16">
        <v>1.54678557447261</v>
      </c>
      <c r="L60"/>
      <c r="M60" s="9">
        <v>50</v>
      </c>
      <c r="N60" s="10">
        <v>-5.8606140240000002</v>
      </c>
      <c r="O60" s="10">
        <v>8.5836239999999998E-3</v>
      </c>
      <c r="P60" s="10">
        <v>-2.8912738E-2</v>
      </c>
      <c r="Q60" s="10">
        <v>1.760055E-2</v>
      </c>
      <c r="R60" s="10">
        <v>0</v>
      </c>
      <c r="S60"/>
      <c r="T60" s="13">
        <v>2022</v>
      </c>
      <c r="U60" s="14"/>
      <c r="V60" s="14"/>
      <c r="W60" s="16">
        <v>3.45722029886781</v>
      </c>
      <c r="X60"/>
    </row>
    <row r="61" spans="1:24" ht="12.6" customHeight="1" x14ac:dyDescent="0.25">
      <c r="A61" s="9">
        <v>51</v>
      </c>
      <c r="B61" s="10">
        <v>-5.1564264839999998</v>
      </c>
      <c r="C61" s="10">
        <v>9.1214120000000006E-3</v>
      </c>
      <c r="D61" s="10">
        <v>-0.266600367</v>
      </c>
      <c r="E61" s="10">
        <v>6.3715330000000004E-3</v>
      </c>
      <c r="F61" s="10">
        <v>0</v>
      </c>
      <c r="G61" s="17">
        <v>0</v>
      </c>
      <c r="H61" s="13">
        <v>2023</v>
      </c>
      <c r="I61" s="14"/>
      <c r="J61" s="14"/>
      <c r="K61" s="16">
        <v>1.3083759762760001</v>
      </c>
      <c r="L61"/>
      <c r="M61" s="9">
        <v>51</v>
      </c>
      <c r="N61" s="10">
        <v>-5.7795520429999998</v>
      </c>
      <c r="O61" s="10">
        <v>8.2746959999999998E-3</v>
      </c>
      <c r="P61" s="10">
        <v>3.8589259999999999E-3</v>
      </c>
      <c r="Q61" s="10">
        <v>1.6602446E-2</v>
      </c>
      <c r="R61" s="10">
        <v>0</v>
      </c>
      <c r="S61"/>
      <c r="T61" s="13">
        <v>2023</v>
      </c>
      <c r="U61" s="14"/>
      <c r="V61" s="14"/>
      <c r="W61" s="16">
        <v>3.3634140476343202</v>
      </c>
      <c r="X61"/>
    </row>
    <row r="62" spans="1:24" ht="12.6" customHeight="1" x14ac:dyDescent="0.25">
      <c r="A62" s="9">
        <v>52</v>
      </c>
      <c r="B62" s="10">
        <v>-5.0606414119999998</v>
      </c>
      <c r="C62" s="10">
        <v>9.12199E-3</v>
      </c>
      <c r="D62" s="10">
        <v>-0.25615474300000002</v>
      </c>
      <c r="E62" s="10">
        <v>5.3661079999999996E-3</v>
      </c>
      <c r="F62" s="10">
        <v>0</v>
      </c>
      <c r="G62" s="17">
        <v>0</v>
      </c>
      <c r="H62"/>
      <c r="I62"/>
      <c r="J62" s="11"/>
      <c r="K62" s="11"/>
      <c r="L62"/>
      <c r="M62" s="9">
        <v>52</v>
      </c>
      <c r="N62" s="10">
        <v>-5.690155335</v>
      </c>
      <c r="O62" s="10">
        <v>8.3848150000000003E-3</v>
      </c>
      <c r="P62" s="10">
        <v>1.6067814999999999E-2</v>
      </c>
      <c r="Q62" s="10">
        <v>1.4799891000000001E-2</v>
      </c>
      <c r="R62" s="10">
        <v>0</v>
      </c>
      <c r="S62"/>
      <c r="T62"/>
      <c r="U62"/>
      <c r="V62" s="11"/>
      <c r="W62" s="11"/>
      <c r="X62" s="11"/>
    </row>
    <row r="63" spans="1:24" ht="12.6" customHeight="1" x14ac:dyDescent="0.25">
      <c r="A63" s="9">
        <v>53</v>
      </c>
      <c r="B63" s="10">
        <v>-4.9680041619999997</v>
      </c>
      <c r="C63" s="10">
        <v>9.0680039999999993E-3</v>
      </c>
      <c r="D63" s="10">
        <v>-0.234722294</v>
      </c>
      <c r="E63" s="10">
        <v>-4.5321980000000003E-3</v>
      </c>
      <c r="F63" s="10">
        <v>0</v>
      </c>
      <c r="G63" s="17">
        <v>0</v>
      </c>
      <c r="H63"/>
      <c r="I63"/>
      <c r="J63" s="11"/>
      <c r="K63" s="11"/>
      <c r="L63"/>
      <c r="M63" s="9">
        <v>53</v>
      </c>
      <c r="N63" s="10">
        <v>-5.613639783</v>
      </c>
      <c r="O63" s="10">
        <v>8.2242579999999999E-3</v>
      </c>
      <c r="P63" s="10">
        <v>-5.4225289999999997E-3</v>
      </c>
      <c r="Q63" s="10">
        <v>1.6996451999999999E-2</v>
      </c>
      <c r="R63" s="10">
        <v>0</v>
      </c>
      <c r="S63"/>
      <c r="T63"/>
      <c r="U63"/>
      <c r="V63" s="11"/>
      <c r="W63" s="11"/>
      <c r="X63" s="11"/>
    </row>
    <row r="64" spans="1:24" ht="12.6" customHeight="1" x14ac:dyDescent="0.25">
      <c r="A64" s="9">
        <v>54</v>
      </c>
      <c r="B64" s="10">
        <v>-4.870709089</v>
      </c>
      <c r="C64" s="10">
        <v>9.0978139999999992E-3</v>
      </c>
      <c r="D64" s="10">
        <v>-0.23510851399999999</v>
      </c>
      <c r="E64" s="10">
        <v>-5.1525340000000003E-3</v>
      </c>
      <c r="F64" s="10">
        <v>0</v>
      </c>
      <c r="G64" s="17">
        <v>0</v>
      </c>
      <c r="H64"/>
      <c r="I64"/>
      <c r="J64" s="11"/>
      <c r="K64" s="11"/>
      <c r="L64"/>
      <c r="M64" s="9">
        <v>54</v>
      </c>
      <c r="N64" s="10">
        <v>-5.5296792090000002</v>
      </c>
      <c r="O64" s="10">
        <v>8.1512089999999995E-3</v>
      </c>
      <c r="P64" s="10">
        <v>1.4648266E-2</v>
      </c>
      <c r="Q64" s="10">
        <v>1.2667960000000001E-2</v>
      </c>
      <c r="R64" s="10">
        <v>0</v>
      </c>
      <c r="S64"/>
      <c r="T64"/>
      <c r="U64"/>
      <c r="V64" s="11"/>
      <c r="W64" s="11"/>
      <c r="X64" s="11"/>
    </row>
    <row r="65" spans="1:23" ht="12.6" customHeight="1" x14ac:dyDescent="0.25">
      <c r="A65" s="9">
        <v>55</v>
      </c>
      <c r="B65" s="10">
        <v>-4.778723909</v>
      </c>
      <c r="C65" s="10">
        <v>9.1071420000000004E-3</v>
      </c>
      <c r="D65" s="10">
        <v>-0.21075909300000001</v>
      </c>
      <c r="E65" s="10">
        <v>-2.759774E-3</v>
      </c>
      <c r="F65" s="10">
        <v>2.6478568000000001E-2</v>
      </c>
      <c r="G65" s="17">
        <v>-1.1690840098083077E-8</v>
      </c>
      <c r="H65" s="12" t="s">
        <v>19</v>
      </c>
      <c r="I65" s="9"/>
      <c r="J65" s="11"/>
      <c r="K65" s="11"/>
      <c r="L65"/>
      <c r="M65" s="9">
        <v>55</v>
      </c>
      <c r="N65" s="10">
        <v>-5.4458016029999996</v>
      </c>
      <c r="O65" s="10">
        <v>7.9911940000000001E-3</v>
      </c>
      <c r="P65" s="10">
        <v>2.5911200000000001E-3</v>
      </c>
      <c r="Q65" s="10">
        <v>1.4954267E-2</v>
      </c>
      <c r="R65" s="10">
        <v>-1.2414995999999999E-2</v>
      </c>
      <c r="S65"/>
      <c r="T65" s="12" t="s">
        <v>19</v>
      </c>
      <c r="U65" s="9"/>
      <c r="V65" s="11"/>
      <c r="W65" s="11"/>
    </row>
    <row r="66" spans="1:23" ht="12.6" customHeight="1" x14ac:dyDescent="0.25">
      <c r="A66" s="9">
        <v>56</v>
      </c>
      <c r="B66" s="10">
        <v>-4.6873646679999998</v>
      </c>
      <c r="C66" s="10">
        <v>9.0825839999999994E-3</v>
      </c>
      <c r="D66" s="10">
        <v>-0.206803242</v>
      </c>
      <c r="E66" s="10">
        <v>-3.2953370000000002E-3</v>
      </c>
      <c r="F66" s="10">
        <v>4.8662139999999998E-3</v>
      </c>
      <c r="G66" s="17">
        <v>-1.0780384539915699E-8</v>
      </c>
      <c r="H66" s="12" t="s">
        <v>20</v>
      </c>
      <c r="I66" s="9"/>
      <c r="J66" s="11"/>
      <c r="K66" s="11"/>
      <c r="L66"/>
      <c r="M66" s="9">
        <v>56</v>
      </c>
      <c r="N66" s="10">
        <v>-5.3651877649999999</v>
      </c>
      <c r="O66" s="10">
        <v>8.0123659999999999E-3</v>
      </c>
      <c r="P66" s="10">
        <v>1.7576531999999999E-2</v>
      </c>
      <c r="Q66" s="10">
        <v>1.1912644999999999E-2</v>
      </c>
      <c r="R66" s="10">
        <v>-2.686889E-3</v>
      </c>
      <c r="S66"/>
      <c r="T66" s="12" t="s">
        <v>20</v>
      </c>
      <c r="U66" s="9"/>
      <c r="V66" s="11"/>
      <c r="W66" s="11"/>
    </row>
    <row r="67" spans="1:23" ht="12.6" customHeight="1" x14ac:dyDescent="0.25">
      <c r="A67" s="9">
        <v>57</v>
      </c>
      <c r="B67" s="10">
        <v>-4.593631266</v>
      </c>
      <c r="C67" s="10">
        <v>9.1895610000000006E-3</v>
      </c>
      <c r="D67" s="10">
        <v>-0.17834090699999999</v>
      </c>
      <c r="E67" s="10">
        <v>-7.1942179999999996E-3</v>
      </c>
      <c r="F67" s="10">
        <v>-2.0091330000000002E-3</v>
      </c>
      <c r="G67" s="17">
        <v>4.1552068496056305E-9</v>
      </c>
      <c r="H67" s="12" t="s">
        <v>21</v>
      </c>
      <c r="I67" s="9"/>
      <c r="J67" s="11"/>
      <c r="K67" s="11"/>
      <c r="L67"/>
      <c r="M67" s="9">
        <v>57</v>
      </c>
      <c r="N67" s="10">
        <v>-5.2784932480000002</v>
      </c>
      <c r="O67" s="10">
        <v>8.0202569999999994E-3</v>
      </c>
      <c r="P67" s="10">
        <v>1.4160717E-2</v>
      </c>
      <c r="Q67" s="10">
        <v>1.2491686E-2</v>
      </c>
      <c r="R67" s="10">
        <v>-8.3222560000000001E-3</v>
      </c>
      <c r="S67"/>
      <c r="T67" s="12" t="s">
        <v>21</v>
      </c>
      <c r="U67" s="9"/>
      <c r="V67" s="11"/>
      <c r="W67" s="11"/>
    </row>
    <row r="68" spans="1:23" ht="12.6" customHeight="1" x14ac:dyDescent="0.25">
      <c r="A68" s="9">
        <v>58</v>
      </c>
      <c r="B68" s="10">
        <v>-4.5031929579999996</v>
      </c>
      <c r="C68" s="10">
        <v>9.2590209999999992E-3</v>
      </c>
      <c r="D68" s="10">
        <v>-0.16714975100000001</v>
      </c>
      <c r="E68" s="10">
        <v>-4.7149999999999996E-3</v>
      </c>
      <c r="F68" s="10">
        <v>1.6924750999999998E-2</v>
      </c>
      <c r="G68" s="17">
        <v>-3.526442850232403E-8</v>
      </c>
      <c r="H68" s="15" t="s">
        <v>22</v>
      </c>
      <c r="I68" s="13">
        <v>0.75</v>
      </c>
      <c r="J68" s="11"/>
      <c r="K68" s="11"/>
      <c r="L68"/>
      <c r="M68" s="9">
        <v>58</v>
      </c>
      <c r="N68" s="10">
        <v>-5.1950237680000004</v>
      </c>
      <c r="O68" s="10">
        <v>8.2018709999999995E-3</v>
      </c>
      <c r="P68" s="10">
        <v>2.2837130000000001E-2</v>
      </c>
      <c r="Q68" s="10">
        <v>1.4022371E-2</v>
      </c>
      <c r="R68" s="10">
        <v>2.4311229999999999E-3</v>
      </c>
      <c r="S68"/>
      <c r="T68" s="15" t="s">
        <v>22</v>
      </c>
      <c r="U68" s="13">
        <v>0.75</v>
      </c>
      <c r="V68" s="11"/>
      <c r="W68" s="11"/>
    </row>
    <row r="69" spans="1:23" ht="12.6" customHeight="1" x14ac:dyDescent="0.25">
      <c r="A69" s="9">
        <v>59</v>
      </c>
      <c r="B69" s="10">
        <v>-4.4121500899999999</v>
      </c>
      <c r="C69" s="10">
        <v>9.2712000000000003E-3</v>
      </c>
      <c r="D69" s="10">
        <v>-0.16655336800000001</v>
      </c>
      <c r="E69" s="10">
        <v>-6.7112609999999996E-3</v>
      </c>
      <c r="F69" s="10">
        <v>1.3715999999999999E-4</v>
      </c>
      <c r="G69" s="17">
        <v>3.4575608189984499E-8</v>
      </c>
      <c r="H69"/>
      <c r="I69" s="11"/>
      <c r="J69" s="11"/>
      <c r="K69" s="11"/>
      <c r="L69"/>
      <c r="M69" s="9">
        <v>59</v>
      </c>
      <c r="N69" s="10">
        <v>-5.109468712</v>
      </c>
      <c r="O69" s="10">
        <v>8.1432759999999996E-3</v>
      </c>
      <c r="P69" s="10">
        <v>1.2631662E-2</v>
      </c>
      <c r="Q69" s="10">
        <v>1.375234E-2</v>
      </c>
      <c r="R69" s="10">
        <v>7.4662469999999996E-3</v>
      </c>
      <c r="S69"/>
      <c r="T69"/>
      <c r="U69"/>
      <c r="V69" s="11"/>
      <c r="W69" s="11"/>
    </row>
    <row r="70" spans="1:23" ht="15" x14ac:dyDescent="0.25">
      <c r="A70" s="9">
        <v>60</v>
      </c>
      <c r="B70" s="10">
        <v>-4.3155521060000002</v>
      </c>
      <c r="C70" s="10">
        <v>9.4510689999999994E-3</v>
      </c>
      <c r="D70" s="10">
        <v>-0.14437608399999999</v>
      </c>
      <c r="E70" s="10">
        <v>-4.8320289999999998E-3</v>
      </c>
      <c r="F70" s="10">
        <v>3.5763938000000002E-2</v>
      </c>
      <c r="G70" s="17">
        <v>8.6551635025688967E-9</v>
      </c>
      <c r="H70"/>
      <c r="I70" s="11"/>
      <c r="J70" s="11"/>
      <c r="K70" s="11"/>
      <c r="L70"/>
      <c r="M70" s="9">
        <v>60</v>
      </c>
      <c r="N70" s="10">
        <v>-5.0143304310000003</v>
      </c>
      <c r="O70" s="10">
        <v>8.2361139999999992E-3</v>
      </c>
      <c r="P70" s="10">
        <v>1.9765931E-2</v>
      </c>
      <c r="Q70" s="10">
        <v>1.5163517E-2</v>
      </c>
      <c r="R70" s="10">
        <v>1.812681E-3</v>
      </c>
      <c r="S70"/>
      <c r="T70"/>
      <c r="U70"/>
      <c r="V70" s="11"/>
      <c r="W70" s="11"/>
    </row>
    <row r="71" spans="1:23" ht="15" x14ac:dyDescent="0.25">
      <c r="A71" s="9">
        <v>61</v>
      </c>
      <c r="B71" s="10">
        <v>-4.2261947539999998</v>
      </c>
      <c r="C71" s="10">
        <v>9.5334770000000003E-3</v>
      </c>
      <c r="D71" s="10">
        <v>-0.13866993999999999</v>
      </c>
      <c r="E71" s="10">
        <v>-3.3847730000000002E-3</v>
      </c>
      <c r="F71" s="10">
        <v>-5.9725380000000003E-3</v>
      </c>
      <c r="G71" s="17">
        <v>1.7915948169466844E-8</v>
      </c>
      <c r="H71"/>
      <c r="I71" s="11"/>
      <c r="J71" s="11"/>
      <c r="K71" s="11"/>
      <c r="L71"/>
      <c r="M71" s="9">
        <v>61</v>
      </c>
      <c r="N71" s="10">
        <v>-4.9309986060000002</v>
      </c>
      <c r="O71" s="10">
        <v>8.2349180000000008E-3</v>
      </c>
      <c r="P71" s="10">
        <v>3.0260212000000002E-2</v>
      </c>
      <c r="Q71" s="10">
        <v>1.2584138E-2</v>
      </c>
      <c r="R71" s="10">
        <v>-4.2017310000000002E-3</v>
      </c>
      <c r="S71"/>
      <c r="T71"/>
      <c r="U71" s="11"/>
      <c r="V71" s="11"/>
      <c r="W71" s="11"/>
    </row>
    <row r="72" spans="1:23" ht="15" x14ac:dyDescent="0.25">
      <c r="A72" s="9">
        <v>62</v>
      </c>
      <c r="B72" s="10">
        <v>-4.1337443250000003</v>
      </c>
      <c r="C72" s="10">
        <v>9.703939E-3</v>
      </c>
      <c r="D72" s="10">
        <v>-0.119903094</v>
      </c>
      <c r="E72" s="10">
        <v>-4.3327139999999997E-3</v>
      </c>
      <c r="F72" s="10">
        <v>1.4149057E-2</v>
      </c>
      <c r="G72" s="17">
        <v>1.4838602098790621E-8</v>
      </c>
      <c r="H72"/>
      <c r="I72" s="11"/>
      <c r="J72" s="11"/>
      <c r="K72" s="11"/>
      <c r="L72"/>
      <c r="M72" s="9">
        <v>62</v>
      </c>
      <c r="N72" s="10">
        <v>-4.8414794079999997</v>
      </c>
      <c r="O72" s="10">
        <v>8.4894170000000008E-3</v>
      </c>
      <c r="P72" s="10">
        <v>6.933303E-3</v>
      </c>
      <c r="Q72" s="10">
        <v>1.6668115000000001E-2</v>
      </c>
      <c r="R72" s="10">
        <v>1.1516739E-2</v>
      </c>
      <c r="S72"/>
      <c r="T72"/>
      <c r="U72" s="11"/>
      <c r="V72" s="11"/>
      <c r="W72" s="11"/>
    </row>
    <row r="73" spans="1:23" ht="15" x14ac:dyDescent="0.25">
      <c r="A73" s="9">
        <v>63</v>
      </c>
      <c r="B73" s="10">
        <v>-4.0432432110000001</v>
      </c>
      <c r="C73" s="10">
        <v>9.8772640000000002E-3</v>
      </c>
      <c r="D73" s="10">
        <v>-9.8133245999999993E-2</v>
      </c>
      <c r="E73" s="10">
        <v>-2.025738E-3</v>
      </c>
      <c r="F73" s="10">
        <v>1.4738072E-2</v>
      </c>
      <c r="G73" s="17">
        <v>-1.7885002900550062E-8</v>
      </c>
      <c r="H73"/>
      <c r="I73" s="11"/>
      <c r="J73" s="11"/>
      <c r="K73" s="11"/>
      <c r="L73"/>
      <c r="M73" s="9">
        <v>63</v>
      </c>
      <c r="N73" s="10">
        <v>-4.7541620849999999</v>
      </c>
      <c r="O73" s="10">
        <v>8.7263059999999996E-3</v>
      </c>
      <c r="P73" s="10">
        <v>1.2331040999999999E-2</v>
      </c>
      <c r="Q73" s="10">
        <v>1.4388025E-2</v>
      </c>
      <c r="R73" s="10">
        <v>3.3048988000000001E-2</v>
      </c>
      <c r="S73"/>
      <c r="T73"/>
      <c r="U73" s="11"/>
      <c r="V73" s="11"/>
      <c r="W73" s="11"/>
    </row>
    <row r="74" spans="1:23" ht="15" x14ac:dyDescent="0.25">
      <c r="A74" s="9">
        <v>64</v>
      </c>
      <c r="B74" s="10">
        <v>-3.9532282959999998</v>
      </c>
      <c r="C74" s="10">
        <v>1.0071549000000001E-2</v>
      </c>
      <c r="D74" s="10">
        <v>-8.5183046999999998E-2</v>
      </c>
      <c r="E74" s="10">
        <v>4.8237900000000001E-4</v>
      </c>
      <c r="F74" s="10">
        <v>2.1239847999999999E-2</v>
      </c>
      <c r="G74" s="17">
        <v>1.9148841800403771E-8</v>
      </c>
      <c r="H74"/>
      <c r="I74" s="11"/>
      <c r="J74" s="11"/>
      <c r="K74" s="11"/>
      <c r="L74"/>
      <c r="M74" s="9">
        <v>64</v>
      </c>
      <c r="N74" s="10">
        <v>-4.6606726119999999</v>
      </c>
      <c r="O74" s="10">
        <v>9.031519E-3</v>
      </c>
      <c r="P74" s="10">
        <v>1.0246111E-2</v>
      </c>
      <c r="Q74" s="10">
        <v>1.4300159999999999E-2</v>
      </c>
      <c r="R74" s="10">
        <v>2.6393171999999999E-2</v>
      </c>
      <c r="S74"/>
      <c r="T74"/>
      <c r="U74" s="11"/>
      <c r="V74" s="11"/>
      <c r="W74" s="11"/>
    </row>
    <row r="75" spans="1:23" ht="15" x14ac:dyDescent="0.25">
      <c r="A75" s="9">
        <v>65</v>
      </c>
      <c r="B75" s="10">
        <v>-3.8603307070000001</v>
      </c>
      <c r="C75" s="10">
        <v>1.0270299E-2</v>
      </c>
      <c r="D75" s="10">
        <v>-6.6332456999999997E-2</v>
      </c>
      <c r="E75" s="10">
        <v>-5.7442099999999998E-4</v>
      </c>
      <c r="F75" s="10">
        <v>1.5649329E-2</v>
      </c>
      <c r="G75" s="17">
        <v>5.0098321199842921E-8</v>
      </c>
      <c r="H75"/>
      <c r="I75" s="11"/>
      <c r="J75" s="11"/>
      <c r="K75" s="11"/>
      <c r="L75"/>
      <c r="M75" s="9">
        <v>65</v>
      </c>
      <c r="N75" s="10">
        <v>-4.5660694900000003</v>
      </c>
      <c r="O75" s="10">
        <v>9.2477129999999994E-3</v>
      </c>
      <c r="P75" s="10">
        <v>1.1287538999999999E-2</v>
      </c>
      <c r="Q75" s="10">
        <v>1.386308E-2</v>
      </c>
      <c r="R75" s="10">
        <v>3.6867432999999998E-2</v>
      </c>
      <c r="S75"/>
      <c r="T75"/>
      <c r="U75" s="11"/>
      <c r="V75" s="11"/>
      <c r="W75" s="11"/>
    </row>
    <row r="76" spans="1:23" ht="15" x14ac:dyDescent="0.25">
      <c r="A76" s="9">
        <v>66</v>
      </c>
      <c r="B76" s="10">
        <v>-3.7735789710000001</v>
      </c>
      <c r="C76" s="10">
        <v>1.0324124E-2</v>
      </c>
      <c r="D76" s="10">
        <v>-5.1030840000000001E-2</v>
      </c>
      <c r="E76" s="10">
        <v>1.766856E-3</v>
      </c>
      <c r="F76" s="10">
        <v>6.8274000000000004E-4</v>
      </c>
      <c r="G76" s="17">
        <v>1.1254863686101409E-7</v>
      </c>
      <c r="H76"/>
      <c r="I76" s="11"/>
      <c r="J76" s="11"/>
      <c r="K76" s="11"/>
      <c r="L76"/>
      <c r="M76" s="9">
        <v>66</v>
      </c>
      <c r="N76" s="10">
        <v>-4.4734380079999996</v>
      </c>
      <c r="O76" s="10">
        <v>9.4131119999999995E-3</v>
      </c>
      <c r="P76" s="10">
        <v>8.3346500000000007E-3</v>
      </c>
      <c r="Q76" s="10">
        <v>1.4590341E-2</v>
      </c>
      <c r="R76" s="10">
        <v>3.5758096000000003E-2</v>
      </c>
      <c r="S76"/>
      <c r="T76"/>
      <c r="U76" s="11"/>
      <c r="V76" s="11"/>
      <c r="W76" s="11"/>
    </row>
    <row r="77" spans="1:23" ht="15" x14ac:dyDescent="0.25">
      <c r="A77" s="9">
        <v>67</v>
      </c>
      <c r="B77" s="10">
        <v>-3.682986466</v>
      </c>
      <c r="C77" s="10">
        <v>1.0592811000000001E-2</v>
      </c>
      <c r="D77" s="10">
        <v>-3.8930776E-2</v>
      </c>
      <c r="E77" s="10">
        <v>2.1573719999999998E-3</v>
      </c>
      <c r="F77" s="10">
        <v>3.7068182999999998E-2</v>
      </c>
      <c r="G77" s="17">
        <v>-3.7707912202422644E-8</v>
      </c>
      <c r="H77"/>
      <c r="I77" s="11"/>
      <c r="J77" s="11"/>
      <c r="K77" s="11"/>
      <c r="L77"/>
      <c r="M77" s="9">
        <v>67</v>
      </c>
      <c r="N77" s="10">
        <v>-4.377670009</v>
      </c>
      <c r="O77" s="10">
        <v>9.7648830000000002E-3</v>
      </c>
      <c r="P77" s="10">
        <v>6.4761389999999997E-3</v>
      </c>
      <c r="Q77" s="10">
        <v>1.4191301999999999E-2</v>
      </c>
      <c r="R77" s="10">
        <v>5.1582059E-2</v>
      </c>
      <c r="S77"/>
      <c r="T77"/>
      <c r="U77" s="11"/>
      <c r="V77" s="11"/>
      <c r="W77" s="11"/>
    </row>
    <row r="78" spans="1:23" ht="15" x14ac:dyDescent="0.25">
      <c r="A78" s="9">
        <v>68</v>
      </c>
      <c r="B78" s="10">
        <v>-3.5905918739999998</v>
      </c>
      <c r="C78" s="10">
        <v>1.067445E-2</v>
      </c>
      <c r="D78" s="10">
        <v>-2.5490632999999999E-2</v>
      </c>
      <c r="E78" s="10">
        <v>2.817572E-3</v>
      </c>
      <c r="F78" s="10">
        <v>3.0156797999999999E-2</v>
      </c>
      <c r="G78" s="17">
        <v>-2.2646169103163194E-8</v>
      </c>
      <c r="H78"/>
      <c r="I78" s="11"/>
      <c r="J78" s="11"/>
      <c r="K78" s="11"/>
      <c r="L78"/>
      <c r="M78" s="9">
        <v>68</v>
      </c>
      <c r="N78" s="10">
        <v>-4.2782681179999997</v>
      </c>
      <c r="O78" s="10">
        <v>9.9314030000000001E-3</v>
      </c>
      <c r="P78" s="10">
        <v>1.4973149999999999E-2</v>
      </c>
      <c r="Q78" s="10">
        <v>1.5246094E-2</v>
      </c>
      <c r="R78" s="10">
        <v>4.8991551000000001E-2</v>
      </c>
      <c r="S78"/>
      <c r="T78"/>
      <c r="U78" s="11"/>
      <c r="V78" s="11"/>
      <c r="W78" s="11"/>
    </row>
    <row r="79" spans="1:23" ht="15" x14ac:dyDescent="0.25">
      <c r="A79" s="9">
        <v>69</v>
      </c>
      <c r="B79" s="10">
        <v>-3.5002666800000002</v>
      </c>
      <c r="C79" s="10">
        <v>1.074286E-2</v>
      </c>
      <c r="D79" s="10">
        <v>-1.1215615999999999E-2</v>
      </c>
      <c r="E79" s="10">
        <v>4.9736549999999996E-3</v>
      </c>
      <c r="F79" s="10">
        <v>3.4188402999999999E-2</v>
      </c>
      <c r="G79" s="17">
        <v>-3.5325536801300572E-8</v>
      </c>
      <c r="H79"/>
      <c r="I79" s="11"/>
      <c r="J79" s="11"/>
      <c r="K79" s="11"/>
      <c r="L79"/>
      <c r="M79" s="9">
        <v>69</v>
      </c>
      <c r="N79" s="10">
        <v>-4.1739263409999996</v>
      </c>
      <c r="O79" s="10">
        <v>1.0210798E-2</v>
      </c>
      <c r="P79" s="10">
        <v>4.3436860000000002E-3</v>
      </c>
      <c r="Q79" s="10">
        <v>1.6992314000000001E-2</v>
      </c>
      <c r="R79" s="10">
        <v>6.1397418000000002E-2</v>
      </c>
      <c r="S79"/>
      <c r="T79"/>
      <c r="U79" s="11"/>
      <c r="V79" s="11"/>
      <c r="W79" s="11"/>
    </row>
    <row r="80" spans="1:23" ht="15" x14ac:dyDescent="0.25">
      <c r="A80" s="9">
        <v>70</v>
      </c>
      <c r="B80" s="10">
        <v>-3.4064749270000001</v>
      </c>
      <c r="C80" s="10">
        <v>1.0865503E-2</v>
      </c>
      <c r="D80" s="10">
        <v>-7.0432940000000003E-3</v>
      </c>
      <c r="E80" s="10">
        <v>6.3479640000000002E-3</v>
      </c>
      <c r="F80" s="10">
        <v>4.3274187999999998E-2</v>
      </c>
      <c r="G80" s="17">
        <v>-1.4679249302207431E-8</v>
      </c>
      <c r="H80"/>
      <c r="I80" s="11"/>
      <c r="J80" s="11"/>
      <c r="K80" s="11"/>
      <c r="L80"/>
      <c r="M80" s="9">
        <v>70</v>
      </c>
      <c r="N80" s="10">
        <v>-4.0674433570000001</v>
      </c>
      <c r="O80" s="10">
        <v>1.0424141E-2</v>
      </c>
      <c r="P80" s="10">
        <v>2.7358230000000001E-3</v>
      </c>
      <c r="Q80" s="10">
        <v>1.6824034000000002E-2</v>
      </c>
      <c r="R80" s="10">
        <v>4.1245719E-2</v>
      </c>
      <c r="S80"/>
      <c r="T80"/>
      <c r="U80" s="11"/>
      <c r="V80" s="11"/>
      <c r="W80" s="11"/>
    </row>
    <row r="81" spans="1:23" ht="15" x14ac:dyDescent="0.25">
      <c r="A81" s="9">
        <v>71</v>
      </c>
      <c r="B81" s="10">
        <v>-3.3139030840000001</v>
      </c>
      <c r="C81" s="10">
        <v>1.0787704E-2</v>
      </c>
      <c r="D81" s="10">
        <v>5.87704E-3</v>
      </c>
      <c r="E81" s="10">
        <v>9.9384290000000004E-3</v>
      </c>
      <c r="F81" s="10">
        <v>3.7718019999999998E-2</v>
      </c>
      <c r="G81" s="17">
        <v>3.5700316196318749E-8</v>
      </c>
      <c r="H81"/>
      <c r="I81" s="11"/>
      <c r="J81" s="11"/>
      <c r="K81" s="11"/>
      <c r="L81"/>
      <c r="M81" s="9">
        <v>71</v>
      </c>
      <c r="N81" s="10">
        <v>-3.9633316060000001</v>
      </c>
      <c r="O81" s="10">
        <v>1.0599865999999999E-2</v>
      </c>
      <c r="P81" s="10">
        <v>1.081179E-2</v>
      </c>
      <c r="Q81" s="10">
        <v>1.6420053E-2</v>
      </c>
      <c r="R81" s="10">
        <v>3.9485040999999999E-2</v>
      </c>
      <c r="S81"/>
      <c r="T81"/>
      <c r="U81" s="11"/>
      <c r="V81" s="11"/>
      <c r="W81" s="11"/>
    </row>
    <row r="82" spans="1:23" ht="15" x14ac:dyDescent="0.25">
      <c r="A82" s="9">
        <v>72</v>
      </c>
      <c r="B82" s="10">
        <v>-3.217978628</v>
      </c>
      <c r="C82" s="10">
        <v>1.0807181000000001E-2</v>
      </c>
      <c r="D82" s="10">
        <v>1.9356518999999999E-2</v>
      </c>
      <c r="E82" s="10">
        <v>1.0684088E-2</v>
      </c>
      <c r="F82" s="10">
        <v>2.2182236000000001E-2</v>
      </c>
      <c r="G82" s="17">
        <v>3.169459450100276E-8</v>
      </c>
      <c r="H82"/>
      <c r="I82" s="11"/>
      <c r="J82" s="11"/>
      <c r="K82" s="11"/>
      <c r="L82"/>
      <c r="M82" s="9">
        <v>72</v>
      </c>
      <c r="N82" s="10">
        <v>-3.8489892129999999</v>
      </c>
      <c r="O82" s="10">
        <v>1.0778866999999999E-2</v>
      </c>
      <c r="P82" s="10">
        <v>-7.5018699999999999E-3</v>
      </c>
      <c r="Q82" s="10">
        <v>1.7112875E-2</v>
      </c>
      <c r="R82" s="10">
        <v>4.1586402000000001E-2</v>
      </c>
      <c r="S82"/>
      <c r="T82"/>
      <c r="U82" s="11"/>
      <c r="V82" s="11"/>
      <c r="W82" s="11"/>
    </row>
    <row r="83" spans="1:23" ht="15" x14ac:dyDescent="0.25">
      <c r="A83" s="9">
        <v>73</v>
      </c>
      <c r="B83" s="10">
        <v>-3.1234179800000001</v>
      </c>
      <c r="C83" s="10">
        <v>1.0738152000000001E-2</v>
      </c>
      <c r="D83" s="10">
        <v>2.8338662000000001E-2</v>
      </c>
      <c r="E83" s="10">
        <v>1.1846897E-2</v>
      </c>
      <c r="F83" s="10">
        <v>2.2764939000000001E-2</v>
      </c>
      <c r="G83" s="17">
        <v>-1.3053808600033134E-8</v>
      </c>
      <c r="H83"/>
      <c r="I83" s="11"/>
      <c r="J83" s="11"/>
      <c r="K83" s="11"/>
      <c r="L83"/>
      <c r="M83" s="9">
        <v>73</v>
      </c>
      <c r="N83" s="10">
        <v>-3.7373555650000001</v>
      </c>
      <c r="O83" s="10">
        <v>1.0937756E-2</v>
      </c>
      <c r="P83" s="10">
        <v>-2.1027049999999999E-3</v>
      </c>
      <c r="Q83" s="10">
        <v>1.6992347000000001E-2</v>
      </c>
      <c r="R83" s="10">
        <v>4.5072164999999997E-2</v>
      </c>
      <c r="S83"/>
      <c r="T83"/>
      <c r="U83" s="11"/>
      <c r="V83" s="11"/>
      <c r="W83" s="11"/>
    </row>
    <row r="84" spans="1:23" ht="15" x14ac:dyDescent="0.25">
      <c r="A84" s="9">
        <v>74</v>
      </c>
      <c r="B84" s="10">
        <v>-3.0267511539999998</v>
      </c>
      <c r="C84" s="10">
        <v>1.0604788E-2</v>
      </c>
      <c r="D84" s="10">
        <v>3.5464117000000003E-2</v>
      </c>
      <c r="E84" s="10">
        <v>1.1517401E-2</v>
      </c>
      <c r="F84" s="10">
        <v>4.9646929999999999E-2</v>
      </c>
      <c r="G84" s="17">
        <v>2.1794262020091715E-9</v>
      </c>
      <c r="H84"/>
      <c r="I84" s="11"/>
      <c r="J84" s="11"/>
      <c r="K84" s="11"/>
      <c r="L84"/>
      <c r="M84" s="9">
        <v>74</v>
      </c>
      <c r="N84" s="10">
        <v>-3.6236644569999998</v>
      </c>
      <c r="O84" s="10">
        <v>1.1073975E-2</v>
      </c>
      <c r="P84" s="10">
        <v>-2.4690549999999999E-3</v>
      </c>
      <c r="Q84" s="10">
        <v>1.6177649999999998E-2</v>
      </c>
      <c r="R84" s="10">
        <v>4.0800043000000001E-2</v>
      </c>
      <c r="S84"/>
      <c r="T84"/>
      <c r="U84" s="11"/>
      <c r="V84" s="11"/>
      <c r="W84" s="11"/>
    </row>
    <row r="85" spans="1:23" ht="15" x14ac:dyDescent="0.25">
      <c r="A85" s="9">
        <v>75</v>
      </c>
      <c r="B85" s="10">
        <v>-2.9308984489999999</v>
      </c>
      <c r="C85" s="10">
        <v>1.0424855E-2</v>
      </c>
      <c r="D85" s="10">
        <v>4.2848636000000002E-2</v>
      </c>
      <c r="E85" s="10">
        <v>1.0859778E-2</v>
      </c>
      <c r="F85" s="10">
        <v>1.6233676999999998E-2</v>
      </c>
      <c r="G85" s="17">
        <v>7.6136886299066342E-8</v>
      </c>
      <c r="H85"/>
      <c r="I85" s="11"/>
      <c r="J85" s="11"/>
      <c r="K85" s="11"/>
      <c r="L85"/>
      <c r="M85" s="9">
        <v>75</v>
      </c>
      <c r="N85" s="10">
        <v>-3.507239309</v>
      </c>
      <c r="O85" s="10">
        <v>1.1126165E-2</v>
      </c>
      <c r="P85" s="10">
        <v>-5.0487199999999996E-4</v>
      </c>
      <c r="Q85" s="10">
        <v>1.6467873000000001E-2</v>
      </c>
      <c r="R85" s="10">
        <v>4.4117815999999997E-2</v>
      </c>
      <c r="S85"/>
      <c r="T85"/>
      <c r="U85" s="11"/>
      <c r="V85" s="11"/>
      <c r="W85" s="11"/>
    </row>
    <row r="86" spans="1:23" ht="15" x14ac:dyDescent="0.25">
      <c r="A86" s="9">
        <v>76</v>
      </c>
      <c r="B86" s="10">
        <v>-2.8354039759999998</v>
      </c>
      <c r="C86" s="10">
        <v>1.0233437999999999E-2</v>
      </c>
      <c r="D86" s="10">
        <v>5.0082899E-2</v>
      </c>
      <c r="E86" s="10">
        <v>1.3369682000000001E-2</v>
      </c>
      <c r="F86" s="10">
        <v>3.6173838E-2</v>
      </c>
      <c r="G86" s="17">
        <v>3.1646242987237727E-9</v>
      </c>
      <c r="H86"/>
      <c r="I86" s="11"/>
      <c r="J86" s="11"/>
      <c r="K86" s="11"/>
      <c r="L86"/>
      <c r="M86" s="9">
        <v>76</v>
      </c>
      <c r="N86" s="10">
        <v>-3.38836665</v>
      </c>
      <c r="O86" s="10">
        <v>1.1100891999999999E-2</v>
      </c>
      <c r="P86" s="10">
        <v>-4.3808479999999997E-3</v>
      </c>
      <c r="Q86" s="10">
        <v>1.6658467E-2</v>
      </c>
      <c r="R86" s="10">
        <v>3.9329098E-2</v>
      </c>
      <c r="S86"/>
      <c r="T86"/>
      <c r="U86" s="11"/>
      <c r="V86" s="11"/>
      <c r="W86" s="11"/>
    </row>
    <row r="87" spans="1:23" ht="15" x14ac:dyDescent="0.25">
      <c r="A87" s="9">
        <v>77</v>
      </c>
      <c r="B87" s="10">
        <v>-2.738410172</v>
      </c>
      <c r="C87" s="10">
        <v>9.9358060000000002E-3</v>
      </c>
      <c r="D87" s="10">
        <v>5.1475557999999998E-2</v>
      </c>
      <c r="E87" s="10">
        <v>1.6226731000000001E-2</v>
      </c>
      <c r="F87" s="10">
        <v>2.9741406000000001E-2</v>
      </c>
      <c r="G87" s="17">
        <v>1.7323875500796504E-8</v>
      </c>
      <c r="H87"/>
      <c r="I87" s="11"/>
      <c r="J87" s="11"/>
      <c r="K87" s="11"/>
      <c r="L87"/>
      <c r="M87" s="9">
        <v>77</v>
      </c>
      <c r="N87" s="10">
        <v>-3.27203964</v>
      </c>
      <c r="O87" s="10">
        <v>1.1078574000000001E-2</v>
      </c>
      <c r="P87" s="10">
        <v>5.7498580000000001E-3</v>
      </c>
      <c r="Q87" s="10">
        <v>1.5521706999999999E-2</v>
      </c>
      <c r="R87" s="10">
        <v>4.1694399E-2</v>
      </c>
      <c r="S87"/>
      <c r="T87"/>
      <c r="U87" s="11"/>
      <c r="V87" s="11"/>
      <c r="W87" s="11"/>
    </row>
    <row r="88" spans="1:23" ht="15" x14ac:dyDescent="0.25">
      <c r="A88" s="9">
        <v>78</v>
      </c>
      <c r="B88" s="10">
        <v>-2.640538233</v>
      </c>
      <c r="C88" s="10">
        <v>9.6380059999999993E-3</v>
      </c>
      <c r="D88" s="10">
        <v>5.9363723E-2</v>
      </c>
      <c r="E88" s="10">
        <v>1.7142292E-2</v>
      </c>
      <c r="F88" s="10">
        <v>2.3820746E-2</v>
      </c>
      <c r="G88" s="17">
        <v>2.7945585900912562E-8</v>
      </c>
      <c r="H88"/>
      <c r="I88" s="11"/>
      <c r="J88" s="11"/>
      <c r="K88" s="11"/>
      <c r="L88"/>
      <c r="M88" s="9">
        <v>78</v>
      </c>
      <c r="N88" s="10">
        <v>-3.1508185719999999</v>
      </c>
      <c r="O88" s="10">
        <v>1.090517E-2</v>
      </c>
      <c r="P88" s="10">
        <v>2.833014E-3</v>
      </c>
      <c r="Q88" s="10">
        <v>1.5603275999999999E-2</v>
      </c>
      <c r="R88" s="10">
        <v>4.0645806999999999E-2</v>
      </c>
      <c r="S88"/>
      <c r="T88"/>
      <c r="U88" s="11"/>
      <c r="V88" s="11"/>
      <c r="W88" s="11"/>
    </row>
    <row r="89" spans="1:23" ht="15" x14ac:dyDescent="0.25">
      <c r="A89" s="9">
        <v>79</v>
      </c>
      <c r="B89" s="10">
        <v>-2.5424780029999998</v>
      </c>
      <c r="C89" s="10">
        <v>9.3763419999999993E-3</v>
      </c>
      <c r="D89" s="10">
        <v>6.5729416999999998E-2</v>
      </c>
      <c r="E89" s="10">
        <v>1.5222308E-2</v>
      </c>
      <c r="F89" s="10">
        <v>2.6549818999999999E-2</v>
      </c>
      <c r="G89" s="17">
        <v>7.9851798992502943E-9</v>
      </c>
      <c r="H89"/>
      <c r="I89" s="11"/>
      <c r="J89" s="11"/>
      <c r="K89" s="11"/>
      <c r="L89"/>
      <c r="M89" s="9">
        <v>79</v>
      </c>
      <c r="N89" s="10">
        <v>-3.027357227</v>
      </c>
      <c r="O89" s="10">
        <v>1.0696537000000001E-2</v>
      </c>
      <c r="P89" s="10">
        <v>-4.9378099999999999E-4</v>
      </c>
      <c r="Q89" s="10">
        <v>1.4255667E-2</v>
      </c>
      <c r="R89" s="10">
        <v>3.6895600000000001E-2</v>
      </c>
      <c r="S89"/>
      <c r="T89"/>
      <c r="U89" s="11"/>
      <c r="V89" s="11"/>
      <c r="W89" s="11"/>
    </row>
    <row r="90" spans="1:23" ht="15" x14ac:dyDescent="0.25">
      <c r="A90" s="9">
        <v>80</v>
      </c>
      <c r="B90" s="10">
        <v>-2.4357227639999999</v>
      </c>
      <c r="C90" s="10">
        <v>9.0397159999999997E-3</v>
      </c>
      <c r="D90" s="10">
        <v>6.0920566000000002E-2</v>
      </c>
      <c r="E90" s="10">
        <v>1.8019047E-2</v>
      </c>
      <c r="F90" s="10">
        <v>2.8563844000000001E-2</v>
      </c>
      <c r="G90" s="17">
        <v>-1.5159416298649031E-8</v>
      </c>
      <c r="H90"/>
      <c r="I90" s="11"/>
      <c r="J90" s="11"/>
      <c r="K90" s="11"/>
      <c r="L90"/>
      <c r="M90" s="9">
        <v>80</v>
      </c>
      <c r="N90" s="10">
        <v>-2.897115651</v>
      </c>
      <c r="O90" s="10">
        <v>1.0366779E-2</v>
      </c>
      <c r="P90" s="10">
        <v>1.8933330000000001E-3</v>
      </c>
      <c r="Q90" s="10">
        <v>1.4436525E-2</v>
      </c>
      <c r="R90" s="10">
        <v>3.8964667000000001E-2</v>
      </c>
      <c r="S90"/>
      <c r="T90"/>
      <c r="U90" s="11"/>
      <c r="V90" s="11"/>
      <c r="W90" s="11"/>
    </row>
    <row r="91" spans="1:23" ht="15" x14ac:dyDescent="0.25">
      <c r="A91" s="9">
        <v>81</v>
      </c>
      <c r="B91" s="10">
        <v>-2.336470695</v>
      </c>
      <c r="C91" s="10">
        <v>8.5591049999999991E-3</v>
      </c>
      <c r="D91" s="10">
        <v>6.1574997999999999E-2</v>
      </c>
      <c r="E91" s="10">
        <v>1.9892799999999999E-2</v>
      </c>
      <c r="F91" s="10">
        <v>2.0397974999999999E-2</v>
      </c>
      <c r="G91" s="17">
        <v>4.9386411297286381E-8</v>
      </c>
      <c r="H91"/>
      <c r="I91" s="11"/>
      <c r="J91" s="11"/>
      <c r="K91" s="11"/>
      <c r="L91"/>
      <c r="M91" s="9">
        <v>81</v>
      </c>
      <c r="N91" s="10">
        <v>-2.7745461919999999</v>
      </c>
      <c r="O91" s="10">
        <v>1.0004391E-2</v>
      </c>
      <c r="P91" s="10">
        <v>7.2938209999999998E-3</v>
      </c>
      <c r="Q91" s="10">
        <v>1.3196951E-2</v>
      </c>
      <c r="R91" s="10">
        <v>2.5559987999999999E-2</v>
      </c>
      <c r="S91"/>
      <c r="T91"/>
      <c r="U91" s="11"/>
      <c r="V91" s="11"/>
      <c r="W91" s="11"/>
    </row>
    <row r="92" spans="1:23" ht="15" x14ac:dyDescent="0.25">
      <c r="A92" s="9">
        <v>82</v>
      </c>
      <c r="B92" s="10">
        <v>-2.2356132909999999</v>
      </c>
      <c r="C92" s="10">
        <v>8.1862800000000006E-3</v>
      </c>
      <c r="D92" s="10">
        <v>5.4227704000000002E-2</v>
      </c>
      <c r="E92" s="10">
        <v>1.9222428E-2</v>
      </c>
      <c r="F92" s="10">
        <v>2.9874629999999999E-2</v>
      </c>
      <c r="G92" s="17">
        <v>3.3984909698914212E-8</v>
      </c>
      <c r="H92"/>
      <c r="I92" s="11"/>
      <c r="J92" s="11"/>
      <c r="K92" s="11"/>
      <c r="L92"/>
      <c r="M92" s="9">
        <v>82</v>
      </c>
      <c r="N92" s="10">
        <v>-2.6486218240000001</v>
      </c>
      <c r="O92" s="10">
        <v>9.7023600000000002E-3</v>
      </c>
      <c r="P92" s="10">
        <v>9.7581379999999995E-3</v>
      </c>
      <c r="Q92" s="10">
        <v>1.3757254E-2</v>
      </c>
      <c r="R92" s="10">
        <v>3.1763701999999998E-2</v>
      </c>
      <c r="S92"/>
      <c r="T92"/>
      <c r="U92" s="11"/>
      <c r="V92" s="11"/>
      <c r="W92" s="11"/>
    </row>
    <row r="93" spans="1:23" ht="15" x14ac:dyDescent="0.25">
      <c r="A93" s="9">
        <v>83</v>
      </c>
      <c r="B93" s="10">
        <v>-2.1355376530000001</v>
      </c>
      <c r="C93" s="10">
        <v>7.7614559999999999E-3</v>
      </c>
      <c r="D93" s="10">
        <v>5.4121954E-2</v>
      </c>
      <c r="E93" s="10">
        <v>2.0795528000000001E-2</v>
      </c>
      <c r="F93" s="10">
        <v>2.8466227E-2</v>
      </c>
      <c r="G93" s="17">
        <v>-2.3179513801430129E-8</v>
      </c>
      <c r="H93"/>
      <c r="I93" s="11"/>
      <c r="J93" s="11"/>
      <c r="K93" s="11"/>
      <c r="L93"/>
      <c r="M93" s="9">
        <v>83</v>
      </c>
      <c r="N93" s="10">
        <v>-2.5240556139999999</v>
      </c>
      <c r="O93" s="10">
        <v>9.3052810000000003E-3</v>
      </c>
      <c r="P93" s="10">
        <v>1.0593412999999999E-2</v>
      </c>
      <c r="Q93" s="10">
        <v>1.3549744000000001E-2</v>
      </c>
      <c r="R93" s="10">
        <v>2.5034542E-2</v>
      </c>
      <c r="S93"/>
      <c r="T93"/>
      <c r="U93" s="11"/>
      <c r="V93" s="11"/>
      <c r="W93" s="11"/>
    </row>
    <row r="94" spans="1:23" ht="15" x14ac:dyDescent="0.25">
      <c r="A94" s="9">
        <v>84</v>
      </c>
      <c r="B94" s="10">
        <v>-2.0354943699999999</v>
      </c>
      <c r="C94" s="10">
        <v>7.336576E-3</v>
      </c>
      <c r="D94" s="10">
        <v>5.4107729E-2</v>
      </c>
      <c r="E94" s="10">
        <v>1.9451530000000002E-2</v>
      </c>
      <c r="F94" s="10">
        <v>3.0354796999999999E-2</v>
      </c>
      <c r="G94" s="17">
        <v>-3.5972696401515014E-8</v>
      </c>
      <c r="H94"/>
      <c r="I94" s="11"/>
      <c r="J94" s="11"/>
      <c r="K94" s="11"/>
      <c r="L94"/>
      <c r="M94" s="9">
        <v>84</v>
      </c>
      <c r="N94" s="10">
        <v>-2.4017045339999998</v>
      </c>
      <c r="O94" s="10">
        <v>8.9470869999999994E-3</v>
      </c>
      <c r="P94" s="10">
        <v>9.4867409999999999E-3</v>
      </c>
      <c r="Q94" s="10">
        <v>1.3346336E-2</v>
      </c>
      <c r="R94" s="10">
        <v>1.9947409999999999E-2</v>
      </c>
      <c r="S94"/>
      <c r="T94"/>
      <c r="U94" s="11"/>
      <c r="V94" s="11"/>
      <c r="W94" s="11"/>
    </row>
    <row r="95" spans="1:23" ht="15" x14ac:dyDescent="0.25">
      <c r="A95" s="9">
        <v>85</v>
      </c>
      <c r="B95" s="10">
        <v>-1.9372358860000001</v>
      </c>
      <c r="C95" s="10">
        <v>6.8650220000000001E-3</v>
      </c>
      <c r="D95" s="10">
        <v>5.6018376000000002E-2</v>
      </c>
      <c r="E95" s="10">
        <v>1.4925565999999999E-2</v>
      </c>
      <c r="F95" s="10">
        <v>2.6646564000000001E-2</v>
      </c>
      <c r="G95" s="17">
        <v>-3.6568452987939537E-9</v>
      </c>
      <c r="H95"/>
      <c r="I95" s="11"/>
      <c r="J95" s="11"/>
      <c r="K95" s="11"/>
      <c r="L95"/>
      <c r="M95" s="9">
        <v>85</v>
      </c>
      <c r="N95" s="10">
        <v>-2.28139921</v>
      </c>
      <c r="O95" s="10">
        <v>8.3900859999999997E-3</v>
      </c>
      <c r="P95" s="10">
        <v>9.8994119999999998E-3</v>
      </c>
      <c r="Q95" s="10">
        <v>1.3575327999999999E-2</v>
      </c>
      <c r="R95" s="10">
        <v>2.4355290000000002E-2</v>
      </c>
      <c r="S95"/>
      <c r="T95"/>
      <c r="U95" s="11"/>
      <c r="V95" s="11"/>
      <c r="W95" s="11"/>
    </row>
    <row r="96" spans="1:23" ht="15" x14ac:dyDescent="0.25">
      <c r="A96" s="9">
        <v>86</v>
      </c>
      <c r="B96" s="10">
        <v>-1.8360384169999999</v>
      </c>
      <c r="C96" s="10">
        <v>6.3993119999999999E-3</v>
      </c>
      <c r="D96" s="10">
        <v>4.6935926000000003E-2</v>
      </c>
      <c r="E96" s="10">
        <v>1.8048893999999999E-2</v>
      </c>
      <c r="F96" s="10">
        <v>4.2951584000000001E-2</v>
      </c>
      <c r="G96" s="17">
        <v>-2.479424259654861E-8</v>
      </c>
      <c r="H96"/>
      <c r="I96" s="11"/>
      <c r="J96" s="11"/>
      <c r="K96" s="11"/>
      <c r="L96"/>
      <c r="M96" s="9">
        <v>86</v>
      </c>
      <c r="N96" s="10">
        <v>-2.1601511360000001</v>
      </c>
      <c r="O96" s="10">
        <v>7.9157120000000001E-3</v>
      </c>
      <c r="P96" s="10">
        <v>1.7811954000000001E-2</v>
      </c>
      <c r="Q96" s="10">
        <v>1.3570634999999999E-2</v>
      </c>
      <c r="R96" s="10">
        <v>2.4073440000000002E-2</v>
      </c>
      <c r="S96"/>
      <c r="T96"/>
      <c r="U96" s="11"/>
      <c r="V96" s="11"/>
      <c r="W96" s="11"/>
    </row>
    <row r="97" spans="1:23" ht="15" x14ac:dyDescent="0.25">
      <c r="A97" s="9">
        <v>87</v>
      </c>
      <c r="B97" s="10">
        <v>-1.7408697479999999</v>
      </c>
      <c r="C97" s="10">
        <v>5.9359060000000003E-3</v>
      </c>
      <c r="D97" s="10">
        <v>4.7701201999999998E-2</v>
      </c>
      <c r="E97" s="10">
        <v>1.6798836000000001E-2</v>
      </c>
      <c r="F97" s="10">
        <v>4.0213766999999997E-2</v>
      </c>
      <c r="G97" s="17">
        <v>6.0534249973764886E-9</v>
      </c>
      <c r="H97"/>
      <c r="I97" s="11"/>
      <c r="J97" s="11"/>
      <c r="K97" s="11"/>
      <c r="L97"/>
      <c r="M97" s="9">
        <v>87</v>
      </c>
      <c r="N97" s="10">
        <v>-2.0441022869999999</v>
      </c>
      <c r="O97" s="10">
        <v>7.3228490000000002E-3</v>
      </c>
      <c r="P97" s="10">
        <v>2.4028595999999999E-2</v>
      </c>
      <c r="Q97" s="10">
        <v>1.2900534999999999E-2</v>
      </c>
      <c r="R97" s="10">
        <v>2.2532383999999999E-2</v>
      </c>
      <c r="S97"/>
      <c r="T97"/>
      <c r="U97" s="11"/>
      <c r="V97" s="11"/>
      <c r="W97" s="11"/>
    </row>
    <row r="98" spans="1:23" ht="15" x14ac:dyDescent="0.25">
      <c r="A98" s="9">
        <v>88</v>
      </c>
      <c r="B98" s="10">
        <v>-1.6455741509999999</v>
      </c>
      <c r="C98" s="10">
        <v>5.4296149999999996E-3</v>
      </c>
      <c r="D98" s="10">
        <v>4.8446738000000003E-2</v>
      </c>
      <c r="E98" s="10">
        <v>2.0068948E-2</v>
      </c>
      <c r="F98" s="10">
        <v>4.7852951999999997E-2</v>
      </c>
      <c r="G98" s="17">
        <v>-1.179084651997675E-7</v>
      </c>
      <c r="H98"/>
      <c r="I98" s="11"/>
      <c r="J98" s="11"/>
      <c r="K98" s="11"/>
      <c r="L98"/>
      <c r="M98" s="9">
        <v>88</v>
      </c>
      <c r="N98" s="10">
        <v>-1.9299300559999999</v>
      </c>
      <c r="O98" s="10">
        <v>6.8130559999999996E-3</v>
      </c>
      <c r="P98" s="10">
        <v>2.0536128000000001E-2</v>
      </c>
      <c r="Q98" s="10">
        <v>1.2429781000000001E-2</v>
      </c>
      <c r="R98" s="10">
        <v>3.0630160999999999E-2</v>
      </c>
      <c r="S98"/>
      <c r="T98"/>
      <c r="U98" s="11"/>
      <c r="V98" s="11"/>
      <c r="W98" s="11"/>
    </row>
    <row r="99" spans="1:23" ht="15" x14ac:dyDescent="0.25">
      <c r="A99" s="9">
        <v>89</v>
      </c>
      <c r="B99" s="10">
        <v>-1.5529280160000001</v>
      </c>
      <c r="C99" s="10">
        <v>4.9357530000000002E-3</v>
      </c>
      <c r="D99" s="10">
        <v>4.2101169000000001E-2</v>
      </c>
      <c r="E99" s="10">
        <v>1.8559836999999999E-2</v>
      </c>
      <c r="F99" s="10">
        <v>7.1674921000000003E-2</v>
      </c>
      <c r="G99" s="17">
        <v>-1.9922062499677651E-8</v>
      </c>
      <c r="H99"/>
      <c r="I99" s="11"/>
      <c r="J99" s="11"/>
      <c r="K99" s="11"/>
      <c r="L99"/>
      <c r="M99" s="9">
        <v>89</v>
      </c>
      <c r="N99" s="10">
        <v>-1.8162065590000001</v>
      </c>
      <c r="O99" s="10">
        <v>6.2761630000000004E-3</v>
      </c>
      <c r="P99" s="10">
        <v>2.7276406999999999E-2</v>
      </c>
      <c r="Q99" s="10">
        <v>1.1675455E-2</v>
      </c>
      <c r="R99" s="10">
        <v>2.5297010000000002E-2</v>
      </c>
      <c r="S99"/>
      <c r="T99"/>
      <c r="U99" s="11"/>
      <c r="V99" s="11"/>
      <c r="W99" s="11"/>
    </row>
    <row r="100" spans="1:23" ht="15" x14ac:dyDescent="0.25">
      <c r="A100" s="9">
        <v>90</v>
      </c>
      <c r="B100" s="10">
        <v>-1.454425716</v>
      </c>
      <c r="C100" s="10">
        <v>4.5559470000000003E-3</v>
      </c>
      <c r="D100" s="10">
        <v>3.8222605E-2</v>
      </c>
      <c r="E100" s="10">
        <v>2.0330266E-2</v>
      </c>
      <c r="F100" s="10">
        <v>8.0835552000000005E-2</v>
      </c>
      <c r="G100" s="17">
        <v>-1.1186498929949273E-7</v>
      </c>
      <c r="H100"/>
      <c r="I100" s="11"/>
      <c r="J100" s="11"/>
      <c r="K100" s="11"/>
      <c r="L100"/>
      <c r="M100" s="9">
        <v>90</v>
      </c>
      <c r="N100" s="10">
        <v>-1.7060110420000001</v>
      </c>
      <c r="O100" s="10">
        <v>5.742034E-3</v>
      </c>
      <c r="P100" s="10">
        <v>2.8539390000000001E-2</v>
      </c>
      <c r="Q100" s="10">
        <v>1.3601546000000001E-2</v>
      </c>
      <c r="R100" s="10">
        <v>3.1329678999999999E-2</v>
      </c>
      <c r="S100"/>
      <c r="T100"/>
      <c r="U100" s="11"/>
      <c r="V100" s="11"/>
      <c r="W100" s="11"/>
    </row>
    <row r="101" spans="1:23" ht="15" x14ac:dyDescent="0.25">
      <c r="A101" s="9">
        <v>91</v>
      </c>
      <c r="B101" s="10">
        <v>-1.3603506759999999</v>
      </c>
      <c r="C101" s="10">
        <v>4.4177629999999999E-3</v>
      </c>
      <c r="D101" s="10">
        <v>3.6948518E-2</v>
      </c>
      <c r="E101" s="10">
        <v>1.7336694E-2</v>
      </c>
      <c r="F101" s="10">
        <v>8.0835552000000005E-2</v>
      </c>
      <c r="G101" s="17">
        <v>-1.1186498929949273E-7</v>
      </c>
      <c r="H101"/>
      <c r="I101"/>
      <c r="J101" s="11"/>
      <c r="K101"/>
      <c r="L101"/>
      <c r="M101" s="9">
        <v>91</v>
      </c>
      <c r="N101" s="10">
        <v>-1.584452736</v>
      </c>
      <c r="O101" s="10">
        <v>5.6960329999999997E-3</v>
      </c>
      <c r="P101" s="10">
        <v>2.7588076999999999E-2</v>
      </c>
      <c r="Q101" s="10">
        <v>1.2494889E-2</v>
      </c>
      <c r="R101" s="10">
        <v>3.1329678999999999E-2</v>
      </c>
      <c r="S101"/>
      <c r="T101"/>
      <c r="U101"/>
      <c r="V101"/>
      <c r="W101"/>
    </row>
    <row r="102" spans="1:23" ht="15" x14ac:dyDescent="0.25">
      <c r="A102" s="9">
        <v>92</v>
      </c>
      <c r="B102" s="10">
        <v>-1.268570956</v>
      </c>
      <c r="C102" s="10">
        <v>4.1253649999999998E-3</v>
      </c>
      <c r="D102" s="10">
        <v>3.5674431E-2</v>
      </c>
      <c r="E102" s="10">
        <v>1.7800914000000001E-2</v>
      </c>
      <c r="F102" s="10">
        <v>8.0835552000000005E-2</v>
      </c>
      <c r="G102" s="17">
        <v>-1.1186498929949273E-7</v>
      </c>
      <c r="H102"/>
      <c r="I102"/>
      <c r="J102" s="11"/>
      <c r="K102"/>
      <c r="L102"/>
      <c r="M102" s="9">
        <v>92</v>
      </c>
      <c r="N102" s="10">
        <v>-1.472817512</v>
      </c>
      <c r="O102" s="10">
        <v>5.3701160000000003E-3</v>
      </c>
      <c r="P102" s="10">
        <v>2.6636764E-2</v>
      </c>
      <c r="Q102" s="10">
        <v>1.2756725E-2</v>
      </c>
      <c r="R102" s="10">
        <v>3.1329678999999999E-2</v>
      </c>
      <c r="S102"/>
      <c r="T102"/>
      <c r="U102"/>
      <c r="V102"/>
      <c r="W102"/>
    </row>
    <row r="103" spans="1:23" ht="15" x14ac:dyDescent="0.25">
      <c r="A103" s="9">
        <v>93</v>
      </c>
      <c r="B103" s="10">
        <v>-1.17902832</v>
      </c>
      <c r="C103" s="10">
        <v>3.8523189999999999E-3</v>
      </c>
      <c r="D103" s="10">
        <v>3.4400343999999999E-2</v>
      </c>
      <c r="E103" s="10">
        <v>1.8221970000000001E-2</v>
      </c>
      <c r="F103" s="10">
        <v>8.0835552000000005E-2</v>
      </c>
      <c r="G103" s="17">
        <v>-1.1186498929949273E-7</v>
      </c>
      <c r="H103"/>
      <c r="I103"/>
      <c r="J103" s="11"/>
      <c r="K103"/>
      <c r="L103"/>
      <c r="M103" s="9">
        <v>93</v>
      </c>
      <c r="N103" s="10">
        <v>-1.363753996</v>
      </c>
      <c r="O103" s="10">
        <v>5.0628469999999997E-3</v>
      </c>
      <c r="P103" s="10">
        <v>2.5685451000000002E-2</v>
      </c>
      <c r="Q103" s="10">
        <v>1.2935581E-2</v>
      </c>
      <c r="R103" s="10">
        <v>3.1329678999999999E-2</v>
      </c>
      <c r="S103"/>
      <c r="T103"/>
      <c r="U103"/>
      <c r="V103"/>
      <c r="W103"/>
    </row>
    <row r="104" spans="1:23" ht="15" x14ac:dyDescent="0.25">
      <c r="A104" s="9">
        <v>94</v>
      </c>
      <c r="B104" s="10">
        <v>-1.0920316729999999</v>
      </c>
      <c r="C104" s="10">
        <v>3.597346E-3</v>
      </c>
      <c r="D104" s="10">
        <v>3.3126256999999999E-2</v>
      </c>
      <c r="E104" s="10">
        <v>1.8591073E-2</v>
      </c>
      <c r="F104" s="10">
        <v>8.0835552000000005E-2</v>
      </c>
      <c r="G104" s="17">
        <v>-1.1186498929949273E-7</v>
      </c>
      <c r="H104"/>
      <c r="I104"/>
      <c r="J104" s="11"/>
      <c r="K104"/>
      <c r="L104"/>
      <c r="M104" s="9">
        <v>94</v>
      </c>
      <c r="N104" s="10">
        <v>-1.2576452119999999</v>
      </c>
      <c r="O104" s="10">
        <v>4.7731600000000002E-3</v>
      </c>
      <c r="P104" s="10">
        <v>2.4734137999999999E-2</v>
      </c>
      <c r="Q104" s="10">
        <v>1.3026374E-2</v>
      </c>
      <c r="R104" s="10">
        <v>3.1329678999999999E-2</v>
      </c>
      <c r="S104"/>
      <c r="T104"/>
      <c r="U104"/>
      <c r="V104"/>
      <c r="W104"/>
    </row>
    <row r="105" spans="1:23" ht="15" x14ac:dyDescent="0.25">
      <c r="A105" s="9">
        <v>95</v>
      </c>
      <c r="B105" s="10">
        <v>-1.007877023</v>
      </c>
      <c r="C105" s="10">
        <v>3.3592489999999999E-3</v>
      </c>
      <c r="D105" s="10">
        <v>3.1852170999999999E-2</v>
      </c>
      <c r="E105" s="10">
        <v>1.8899011E-2</v>
      </c>
      <c r="F105" s="10">
        <v>8.0835552000000005E-2</v>
      </c>
      <c r="G105" s="17">
        <v>-1.1186498929949273E-7</v>
      </c>
      <c r="H105"/>
      <c r="I105"/>
      <c r="J105" s="11"/>
      <c r="K105"/>
      <c r="L105"/>
      <c r="M105" s="9">
        <v>95</v>
      </c>
      <c r="N105" s="10">
        <v>-1.154873571</v>
      </c>
      <c r="O105" s="10">
        <v>4.5000480000000004E-3</v>
      </c>
      <c r="P105" s="10">
        <v>2.3782825E-2</v>
      </c>
      <c r="Q105" s="10">
        <v>1.3025297E-2</v>
      </c>
      <c r="R105" s="10">
        <v>3.1329678999999999E-2</v>
      </c>
      <c r="S105"/>
      <c r="T105"/>
      <c r="U105"/>
      <c r="V105"/>
      <c r="W105"/>
    </row>
    <row r="106" spans="1:23" ht="15" x14ac:dyDescent="0.25">
      <c r="A106" s="9">
        <v>96</v>
      </c>
      <c r="B106" s="10">
        <v>-0.92684203700000001</v>
      </c>
      <c r="C106" s="10">
        <v>3.136911E-3</v>
      </c>
      <c r="D106" s="10">
        <v>3.0578083999999998E-2</v>
      </c>
      <c r="E106" s="10">
        <v>1.9136457999999999E-2</v>
      </c>
      <c r="F106" s="10">
        <v>8.0835552000000005E-2</v>
      </c>
      <c r="G106" s="17">
        <v>-1.1186498929949273E-7</v>
      </c>
      <c r="H106"/>
      <c r="I106"/>
      <c r="J106" s="11"/>
      <c r="K106"/>
      <c r="L106"/>
      <c r="M106" s="9">
        <v>96</v>
      </c>
      <c r="N106" s="10">
        <v>-1.0558130020000001</v>
      </c>
      <c r="O106" s="10">
        <v>4.2425630000000004E-3</v>
      </c>
      <c r="P106" s="10">
        <v>2.2831512000000002E-2</v>
      </c>
      <c r="Q106" s="10">
        <v>1.2930221E-2</v>
      </c>
      <c r="R106" s="10">
        <v>3.1329678999999999E-2</v>
      </c>
      <c r="S106"/>
      <c r="T106"/>
      <c r="U106"/>
      <c r="V106"/>
      <c r="W106"/>
    </row>
    <row r="107" spans="1:23" ht="15" x14ac:dyDescent="0.25">
      <c r="A107" s="9">
        <v>97</v>
      </c>
      <c r="B107" s="10">
        <v>-0.84918034399999998</v>
      </c>
      <c r="C107" s="10">
        <v>2.9292879999999999E-3</v>
      </c>
      <c r="D107" s="10">
        <v>2.9303996999999998E-2</v>
      </c>
      <c r="E107" s="10">
        <v>1.9294341E-2</v>
      </c>
      <c r="F107" s="10">
        <v>8.0835552000000005E-2</v>
      </c>
      <c r="G107" s="17">
        <v>-1.1186498929949273E-7</v>
      </c>
      <c r="H107"/>
      <c r="I107"/>
      <c r="J107" s="11"/>
      <c r="K107"/>
      <c r="L107"/>
      <c r="M107" s="9">
        <v>97</v>
      </c>
      <c r="N107" s="10">
        <v>-0.960819902</v>
      </c>
      <c r="O107" s="10">
        <v>3.9998109999999998E-3</v>
      </c>
      <c r="P107" s="10">
        <v>2.1880198999999999E-2</v>
      </c>
      <c r="Q107" s="10">
        <v>1.2741051E-2</v>
      </c>
      <c r="R107" s="10">
        <v>3.1329678999999999E-2</v>
      </c>
      <c r="S107"/>
      <c r="T107"/>
      <c r="U107"/>
      <c r="V107"/>
      <c r="W107"/>
    </row>
    <row r="108" spans="1:23" ht="15" x14ac:dyDescent="0.25">
      <c r="A108" s="9">
        <v>98</v>
      </c>
      <c r="B108" s="10">
        <v>-0.77511587299999996</v>
      </c>
      <c r="C108" s="10">
        <v>2.7354079999999999E-3</v>
      </c>
      <c r="D108" s="10">
        <v>2.8029910000000002E-2</v>
      </c>
      <c r="E108" s="10">
        <v>1.9364279000000002E-2</v>
      </c>
      <c r="F108" s="10">
        <v>8.0835552000000005E-2</v>
      </c>
      <c r="G108" s="17">
        <v>-1.1186498929949273E-7</v>
      </c>
      <c r="H108"/>
      <c r="I108"/>
      <c r="J108" s="11"/>
      <c r="K108"/>
      <c r="L108"/>
      <c r="M108" s="9">
        <v>98</v>
      </c>
      <c r="N108" s="10">
        <v>-0.87022329499999995</v>
      </c>
      <c r="O108" s="10">
        <v>3.7709480000000001E-3</v>
      </c>
      <c r="P108" s="10">
        <v>2.0928886000000001E-2</v>
      </c>
      <c r="Q108" s="10">
        <v>1.2460023000000001E-2</v>
      </c>
      <c r="R108" s="10">
        <v>3.1329678999999999E-2</v>
      </c>
      <c r="S108"/>
      <c r="T108"/>
      <c r="U108"/>
      <c r="V108"/>
      <c r="W108"/>
    </row>
    <row r="109" spans="1:23" ht="15" x14ac:dyDescent="0.25">
      <c r="A109" s="9">
        <v>99</v>
      </c>
      <c r="B109" s="10">
        <v>-0.70483758799999996</v>
      </c>
      <c r="C109" s="10">
        <v>2.554359E-3</v>
      </c>
      <c r="D109" s="10">
        <v>2.6755823000000001E-2</v>
      </c>
      <c r="E109" s="10">
        <v>1.9339031E-2</v>
      </c>
      <c r="F109" s="10">
        <v>8.0835552000000005E-2</v>
      </c>
      <c r="G109" s="17">
        <v>-1.1186498929949273E-7</v>
      </c>
      <c r="H109"/>
      <c r="I109"/>
      <c r="J109" s="11"/>
      <c r="K109"/>
      <c r="L109"/>
      <c r="M109" s="9">
        <v>99</v>
      </c>
      <c r="N109" s="10">
        <v>-0.78431473200000001</v>
      </c>
      <c r="O109" s="10">
        <v>3.5551810000000001E-3</v>
      </c>
      <c r="P109" s="10">
        <v>1.9977572999999998E-2</v>
      </c>
      <c r="Q109" s="10">
        <v>1.2091869999999999E-2</v>
      </c>
      <c r="R109" s="10">
        <v>3.1329678999999999E-2</v>
      </c>
      <c r="S109"/>
      <c r="T109"/>
      <c r="U109"/>
      <c r="V109"/>
      <c r="W109"/>
    </row>
    <row r="110" spans="1:23" ht="15" x14ac:dyDescent="0.25">
      <c r="A110" s="9">
        <v>100</v>
      </c>
      <c r="B110" s="10">
        <v>-0.63849494500000004</v>
      </c>
      <c r="C110" s="10">
        <v>2.385294E-3</v>
      </c>
      <c r="D110" s="10">
        <v>2.5481736000000001E-2</v>
      </c>
      <c r="E110" s="10">
        <v>1.9212944999999999E-2</v>
      </c>
      <c r="F110" s="10">
        <v>8.0835552000000005E-2</v>
      </c>
      <c r="G110" s="17">
        <v>-1.1186498929949273E-7</v>
      </c>
      <c r="H110"/>
      <c r="I110"/>
      <c r="J110" s="11"/>
      <c r="K110"/>
      <c r="L110"/>
      <c r="M110" s="9">
        <v>100</v>
      </c>
      <c r="N110" s="10">
        <v>-0.70333860400000003</v>
      </c>
      <c r="O110" s="10">
        <v>3.3517600000000001E-3</v>
      </c>
      <c r="P110" s="10">
        <v>1.902626E-2</v>
      </c>
      <c r="Q110" s="10">
        <v>1.1643839E-2</v>
      </c>
      <c r="R110" s="10">
        <v>3.1329678999999999E-2</v>
      </c>
      <c r="S110"/>
      <c r="T110"/>
      <c r="U110"/>
      <c r="V110"/>
      <c r="W110"/>
    </row>
    <row r="111" spans="1:23" ht="15" x14ac:dyDescent="0.25">
      <c r="A111" s="9">
        <v>101</v>
      </c>
      <c r="B111" s="10">
        <v>-0.57619441500000002</v>
      </c>
      <c r="C111" s="10">
        <v>2.227419E-3</v>
      </c>
      <c r="D111" s="10">
        <v>2.4207650000000001E-2</v>
      </c>
      <c r="E111" s="10">
        <v>1.8982333000000001E-2</v>
      </c>
      <c r="F111" s="10">
        <v>8.0835552000000005E-2</v>
      </c>
      <c r="G111" s="17">
        <v>-1.1186498929949273E-7</v>
      </c>
      <c r="H111"/>
      <c r="I111"/>
      <c r="J111" s="11"/>
      <c r="K111"/>
      <c r="L111"/>
      <c r="M111" s="9">
        <v>101</v>
      </c>
      <c r="N111" s="10">
        <v>-0.627483605</v>
      </c>
      <c r="O111" s="10">
        <v>3.1599779999999999E-3</v>
      </c>
      <c r="P111" s="10">
        <v>1.8074947000000001E-2</v>
      </c>
      <c r="Q111" s="10">
        <v>1.1125535000000001E-2</v>
      </c>
      <c r="R111" s="10">
        <v>3.1329678999999999E-2</v>
      </c>
      <c r="S111"/>
      <c r="T111"/>
      <c r="U111"/>
      <c r="V111"/>
      <c r="W111"/>
    </row>
    <row r="112" spans="1:23" ht="15" x14ac:dyDescent="0.25">
      <c r="A112" s="9">
        <v>102</v>
      </c>
      <c r="B112" s="10">
        <v>-0.51799734600000003</v>
      </c>
      <c r="C112" s="10">
        <v>2.079993E-3</v>
      </c>
      <c r="D112" s="10">
        <v>2.2933563000000001E-2</v>
      </c>
      <c r="E112" s="10">
        <v>1.8645755999999999E-2</v>
      </c>
      <c r="F112" s="10">
        <v>8.0835552000000005E-2</v>
      </c>
      <c r="G112" s="17">
        <v>-1.1186498929949273E-7</v>
      </c>
      <c r="H112"/>
      <c r="I112"/>
      <c r="J112" s="11"/>
      <c r="K112"/>
      <c r="L112"/>
      <c r="M112" s="9">
        <v>102</v>
      </c>
      <c r="N112" s="10">
        <v>-0.55687605799999995</v>
      </c>
      <c r="O112" s="10">
        <v>2.9791700000000002E-3</v>
      </c>
      <c r="P112" s="10">
        <v>1.7123633999999999E-2</v>
      </c>
      <c r="Q112" s="10">
        <v>1.0548577E-2</v>
      </c>
      <c r="R112" s="10">
        <v>3.1329678999999999E-2</v>
      </c>
      <c r="S112"/>
      <c r="T112"/>
      <c r="U112"/>
      <c r="V112"/>
      <c r="W112"/>
    </row>
    <row r="113" spans="1:18" ht="15" x14ac:dyDescent="0.25">
      <c r="A113" s="9">
        <v>103</v>
      </c>
      <c r="B113" s="10">
        <v>-0.46391932699999999</v>
      </c>
      <c r="C113" s="10">
        <v>1.942324E-3</v>
      </c>
      <c r="D113" s="10">
        <v>2.1659476E-2</v>
      </c>
      <c r="E113" s="10">
        <v>1.8204163999999998E-2</v>
      </c>
      <c r="F113" s="10">
        <v>8.0835552000000005E-2</v>
      </c>
      <c r="G113" s="17">
        <v>-1.1186498929949273E-7</v>
      </c>
      <c r="H113"/>
      <c r="I113"/>
      <c r="J113" s="11"/>
      <c r="K113"/>
      <c r="L113"/>
      <c r="M113" s="9">
        <v>103</v>
      </c>
      <c r="N113" s="10">
        <v>-0.49157571</v>
      </c>
      <c r="O113" s="10">
        <v>2.8087070000000001E-3</v>
      </c>
      <c r="P113" s="10">
        <v>1.6172321E-2</v>
      </c>
      <c r="Q113" s="10">
        <v>9.9261039999999998E-3</v>
      </c>
      <c r="R113" s="10">
        <v>3.1329678999999999E-2</v>
      </c>
    </row>
    <row r="114" spans="1:18" ht="15" x14ac:dyDescent="0.25">
      <c r="A114" s="9">
        <v>104</v>
      </c>
      <c r="B114" s="10">
        <v>-0.41393113399999998</v>
      </c>
      <c r="C114" s="10">
        <v>1.8137680000000001E-3</v>
      </c>
      <c r="D114" s="10">
        <v>2.0385389E-2</v>
      </c>
      <c r="E114" s="10">
        <v>1.7660881999999999E-2</v>
      </c>
      <c r="F114" s="10">
        <v>8.0835552000000005E-2</v>
      </c>
      <c r="G114" s="17">
        <v>-1.1186498929949273E-7</v>
      </c>
      <c r="H114"/>
      <c r="I114"/>
      <c r="J114" s="11"/>
      <c r="K114"/>
      <c r="L114"/>
      <c r="M114" s="9">
        <v>104</v>
      </c>
      <c r="N114" s="10">
        <v>-0.431574403</v>
      </c>
      <c r="O114" s="10">
        <v>2.647997E-3</v>
      </c>
      <c r="P114" s="10">
        <v>1.5221007999999999E-2</v>
      </c>
      <c r="Q114" s="10">
        <v>9.2721680000000008E-3</v>
      </c>
      <c r="R114" s="10">
        <v>3.1329678999999999E-2</v>
      </c>
    </row>
    <row r="115" spans="1:18" ht="15" x14ac:dyDescent="0.25">
      <c r="A115" s="9">
        <v>105</v>
      </c>
      <c r="B115" s="10">
        <v>-0.36796119500000002</v>
      </c>
      <c r="C115" s="10">
        <v>1.6937199999999999E-3</v>
      </c>
      <c r="D115" s="10">
        <v>1.9111302E-2</v>
      </c>
      <c r="E115" s="10">
        <v>1.7021431E-2</v>
      </c>
      <c r="F115" s="10">
        <v>8.0835552000000005E-2</v>
      </c>
      <c r="G115" s="17">
        <v>-1.1186498929949273E-7</v>
      </c>
      <c r="H115"/>
      <c r="I115"/>
      <c r="J115" s="11"/>
      <c r="K115"/>
      <c r="L115"/>
      <c r="M115" s="9">
        <v>105</v>
      </c>
      <c r="N115" s="10">
        <v>-0.37679774999999999</v>
      </c>
      <c r="O115" s="10">
        <v>2.4964829999999999E-3</v>
      </c>
      <c r="P115" s="10">
        <v>1.4269695000000001E-2</v>
      </c>
      <c r="Q115" s="10">
        <v>8.6010649999999998E-3</v>
      </c>
      <c r="R115" s="10">
        <v>3.1329678999999999E-2</v>
      </c>
    </row>
    <row r="116" spans="1:18" ht="15" x14ac:dyDescent="0.25">
      <c r="A116" s="9">
        <v>106</v>
      </c>
      <c r="B116" s="10">
        <v>-0.32589938600000001</v>
      </c>
      <c r="C116" s="10">
        <v>1.5816179999999999E-3</v>
      </c>
      <c r="D116" s="10">
        <v>1.7837215999999999E-2</v>
      </c>
      <c r="E116" s="10">
        <v>1.6293215999999999E-2</v>
      </c>
      <c r="F116" s="10">
        <v>8.0835552000000005E-2</v>
      </c>
      <c r="G116" s="17">
        <v>-1.1186498929949273E-7</v>
      </c>
      <c r="H116"/>
      <c r="I116"/>
      <c r="J116" s="11"/>
      <c r="K116"/>
      <c r="L116"/>
      <c r="M116" s="9">
        <v>106</v>
      </c>
      <c r="N116" s="10">
        <v>-0.32710966800000002</v>
      </c>
      <c r="O116" s="10">
        <v>2.3536389999999998E-3</v>
      </c>
      <c r="P116" s="10">
        <v>1.3318382E-2</v>
      </c>
      <c r="Q116" s="10">
        <v>7.9266890000000007E-3</v>
      </c>
      <c r="R116" s="10">
        <v>3.1329678999999999E-2</v>
      </c>
    </row>
    <row r="117" spans="1:18" ht="15" x14ac:dyDescent="0.25">
      <c r="A117" s="9">
        <v>107</v>
      </c>
      <c r="B117" s="10">
        <v>-0.28760191699999998</v>
      </c>
      <c r="C117" s="10">
        <v>1.4769360000000001E-3</v>
      </c>
      <c r="D117" s="10">
        <v>1.6563128999999999E-2</v>
      </c>
      <c r="E117" s="10">
        <v>1.5485105000000001E-2</v>
      </c>
      <c r="F117" s="10">
        <v>8.0835552000000005E-2</v>
      </c>
      <c r="G117" s="17">
        <v>-1.1186498929949273E-7</v>
      </c>
      <c r="H117"/>
      <c r="I117"/>
      <c r="J117" s="11"/>
      <c r="K117"/>
      <c r="L117"/>
      <c r="M117" s="9">
        <v>107</v>
      </c>
      <c r="N117" s="10">
        <v>-0.28231935899999999</v>
      </c>
      <c r="O117" s="10">
        <v>2.218968E-3</v>
      </c>
      <c r="P117" s="10">
        <v>1.2367069E-2</v>
      </c>
      <c r="Q117" s="10">
        <v>7.2619449999999997E-3</v>
      </c>
      <c r="R117" s="10">
        <v>3.1329678999999999E-2</v>
      </c>
    </row>
    <row r="118" spans="1:18" ht="15" x14ac:dyDescent="0.25">
      <c r="A118" s="9">
        <v>108</v>
      </c>
      <c r="B118" s="10">
        <v>-0.25289695899999998</v>
      </c>
      <c r="C118" s="10">
        <v>1.3791820000000001E-3</v>
      </c>
      <c r="D118" s="10">
        <v>1.5289041999999999E-2</v>
      </c>
      <c r="E118" s="10">
        <v>1.4606946000000001E-2</v>
      </c>
      <c r="F118" s="10">
        <v>8.0835552000000005E-2</v>
      </c>
      <c r="G118" s="17">
        <v>-1.1186498929949273E-7</v>
      </c>
      <c r="H118"/>
      <c r="I118"/>
      <c r="J118" s="11"/>
      <c r="K118"/>
      <c r="L118"/>
      <c r="M118" s="9">
        <v>108</v>
      </c>
      <c r="N118" s="10">
        <v>-0.24219011900000001</v>
      </c>
      <c r="O118" s="10">
        <v>2.0920019999999999E-3</v>
      </c>
      <c r="P118" s="10">
        <v>1.1415756000000001E-2</v>
      </c>
      <c r="Q118" s="10">
        <v>6.6182879999999999E-3</v>
      </c>
      <c r="R118" s="10">
        <v>3.1329678999999999E-2</v>
      </c>
    </row>
    <row r="119" spans="1:18" ht="15" x14ac:dyDescent="0.25">
      <c r="A119" s="9">
        <v>109</v>
      </c>
      <c r="B119" s="10">
        <v>-0.22159067499999999</v>
      </c>
      <c r="C119" s="10">
        <v>1.287898E-3</v>
      </c>
      <c r="D119" s="10">
        <v>1.4014955000000001E-2</v>
      </c>
      <c r="E119" s="10">
        <v>1.3669082000000001E-2</v>
      </c>
      <c r="F119" s="10">
        <v>8.0835552000000005E-2</v>
      </c>
      <c r="G119" s="17">
        <v>-1.1186498929949273E-7</v>
      </c>
      <c r="H119"/>
      <c r="I119"/>
      <c r="J119" s="11"/>
      <c r="K119"/>
      <c r="L119"/>
      <c r="M119" s="9">
        <v>109</v>
      </c>
      <c r="N119" s="10">
        <v>-0.20644926499999999</v>
      </c>
      <c r="O119" s="10">
        <v>1.9723010000000001E-3</v>
      </c>
      <c r="P119" s="10">
        <v>1.0464443E-2</v>
      </c>
      <c r="Q119" s="10">
        <v>6.0054050000000001E-3</v>
      </c>
      <c r="R119" s="10">
        <v>3.1329678999999999E-2</v>
      </c>
    </row>
    <row r="120" spans="1:18" ht="15" x14ac:dyDescent="0.25">
      <c r="A120" s="9">
        <v>110</v>
      </c>
      <c r="B120" s="10">
        <v>-0.19347331200000001</v>
      </c>
      <c r="C120" s="10">
        <v>1.2026560000000001E-3</v>
      </c>
      <c r="D120" s="10">
        <v>1.2740868000000001E-2</v>
      </c>
      <c r="E120" s="10">
        <v>1.2681882E-2</v>
      </c>
      <c r="F120" s="10">
        <v>8.0835552000000005E-2</v>
      </c>
      <c r="G120" s="17">
        <v>-1.1186498929949273E-7</v>
      </c>
      <c r="H120"/>
      <c r="I120"/>
      <c r="J120" s="11"/>
      <c r="K120"/>
      <c r="L120"/>
      <c r="M120" s="9">
        <v>110</v>
      </c>
      <c r="N120" s="10">
        <v>-0.174798434</v>
      </c>
      <c r="O120" s="10">
        <v>1.8594499999999999E-3</v>
      </c>
      <c r="P120" s="10">
        <v>9.5131299999999999E-3</v>
      </c>
      <c r="Q120" s="10">
        <v>5.431043E-3</v>
      </c>
      <c r="R120" s="10">
        <v>3.1329678999999999E-2</v>
      </c>
    </row>
    <row r="121" spans="1:18" ht="15" x14ac:dyDescent="0.25">
      <c r="A121" s="9">
        <v>111</v>
      </c>
      <c r="B121" s="10">
        <v>-0.168325059</v>
      </c>
      <c r="C121" s="10">
        <v>1.1230560000000001E-3</v>
      </c>
      <c r="D121" s="10">
        <v>1.1466781000000001E-2</v>
      </c>
      <c r="E121" s="10">
        <v>1.1655354999999999E-2</v>
      </c>
      <c r="F121" s="10">
        <v>8.0835552000000005E-2</v>
      </c>
      <c r="G121" s="17">
        <v>-1.1186498929949273E-7</v>
      </c>
      <c r="H121"/>
      <c r="I121"/>
      <c r="J121" s="11"/>
      <c r="K121"/>
      <c r="L121"/>
      <c r="M121" s="9">
        <v>111</v>
      </c>
      <c r="N121" s="10">
        <v>-0.14692360400000001</v>
      </c>
      <c r="O121" s="10">
        <v>1.7530550000000001E-3</v>
      </c>
      <c r="P121" s="10">
        <v>8.5618169999999993E-3</v>
      </c>
      <c r="Q121" s="10">
        <v>4.9009839999999997E-3</v>
      </c>
      <c r="R121" s="10">
        <v>3.1329678999999999E-2</v>
      </c>
    </row>
    <row r="122" spans="1:18" ht="15" x14ac:dyDescent="0.25">
      <c r="A122" s="9">
        <v>112</v>
      </c>
      <c r="B122" s="10">
        <v>-0.14592143499999999</v>
      </c>
      <c r="C122" s="10">
        <v>1.048724E-3</v>
      </c>
      <c r="D122" s="10">
        <v>1.0192695E-2</v>
      </c>
      <c r="E122" s="10">
        <v>1.0598827999999999E-2</v>
      </c>
      <c r="F122" s="10">
        <v>8.0835552000000005E-2</v>
      </c>
      <c r="G122" s="17">
        <v>-1.1186498929949273E-7</v>
      </c>
      <c r="H122"/>
      <c r="I122"/>
      <c r="J122" s="11"/>
      <c r="K122"/>
      <c r="L122"/>
      <c r="M122" s="9">
        <v>112</v>
      </c>
      <c r="N122" s="10">
        <v>-0.122504301</v>
      </c>
      <c r="O122" s="10">
        <v>1.6527480000000001E-3</v>
      </c>
      <c r="P122" s="10">
        <v>7.6105039999999997E-3</v>
      </c>
      <c r="Q122" s="10">
        <v>4.4191350000000003E-3</v>
      </c>
      <c r="R122" s="10">
        <v>3.1329678999999999E-2</v>
      </c>
    </row>
    <row r="123" spans="1:18" ht="15" x14ac:dyDescent="0.25">
      <c r="A123" s="9">
        <v>113</v>
      </c>
      <c r="B123" s="10">
        <v>-0.12603804199999999</v>
      </c>
      <c r="C123" s="10">
        <v>9.7931199999999998E-4</v>
      </c>
      <c r="D123" s="10">
        <v>8.9186079999999997E-3</v>
      </c>
      <c r="E123" s="10">
        <v>9.5207339999999994E-3</v>
      </c>
      <c r="F123" s="10">
        <v>8.0835552000000005E-2</v>
      </c>
      <c r="G123" s="17">
        <v>-1.1186498929949273E-7</v>
      </c>
      <c r="H123"/>
      <c r="I123"/>
      <c r="J123" s="11"/>
      <c r="K123"/>
      <c r="L123"/>
      <c r="M123" s="9">
        <v>113</v>
      </c>
      <c r="N123" s="10">
        <v>-0.101221612</v>
      </c>
      <c r="O123" s="10">
        <v>1.5581810000000001E-3</v>
      </c>
      <c r="P123" s="10">
        <v>6.6591910000000001E-3</v>
      </c>
      <c r="Q123" s="10">
        <v>3.9876989999999999E-3</v>
      </c>
      <c r="R123" s="10">
        <v>3.1329678999999999E-2</v>
      </c>
    </row>
    <row r="124" spans="1:18" ht="15" x14ac:dyDescent="0.25">
      <c r="A124" s="9">
        <v>114</v>
      </c>
      <c r="B124" s="10">
        <v>-0.108454577</v>
      </c>
      <c r="C124" s="10">
        <v>9.1449499999999998E-4</v>
      </c>
      <c r="D124" s="10">
        <v>7.6445209999999996E-3</v>
      </c>
      <c r="E124" s="10">
        <v>8.4284770000000002E-3</v>
      </c>
      <c r="F124" s="10">
        <v>8.0835552000000005E-2</v>
      </c>
      <c r="G124" s="17">
        <v>-1.1186498929949273E-7</v>
      </c>
      <c r="H124"/>
      <c r="I124"/>
      <c r="J124" s="11"/>
      <c r="K124"/>
      <c r="L124"/>
      <c r="M124" s="9">
        <v>114</v>
      </c>
      <c r="N124" s="10">
        <v>-8.2764814000000006E-2</v>
      </c>
      <c r="O124" s="10">
        <v>1.4690250000000001E-3</v>
      </c>
      <c r="P124" s="10">
        <v>5.7078780000000004E-3</v>
      </c>
      <c r="Q124" s="10">
        <v>3.6074050000000002E-3</v>
      </c>
      <c r="R124" s="10">
        <v>3.1329678999999999E-2</v>
      </c>
    </row>
    <row r="125" spans="1:18" ht="15" x14ac:dyDescent="0.25">
      <c r="A125" s="9">
        <v>115</v>
      </c>
      <c r="B125" s="10">
        <v>-9.2958080999999998E-2</v>
      </c>
      <c r="C125" s="10">
        <v>8.5396699999999996E-4</v>
      </c>
      <c r="D125" s="10">
        <v>6.3704340000000003E-3</v>
      </c>
      <c r="E125" s="10">
        <v>7.3283810000000001E-3</v>
      </c>
      <c r="F125" s="10">
        <v>8.0835552000000005E-2</v>
      </c>
      <c r="G125" s="17">
        <v>-1.1186498929949273E-7</v>
      </c>
      <c r="H125"/>
      <c r="I125"/>
      <c r="J125" s="11"/>
      <c r="K125"/>
      <c r="L125"/>
      <c r="M125" s="9">
        <v>115</v>
      </c>
      <c r="N125" s="10">
        <v>-6.683654E-2</v>
      </c>
      <c r="O125" s="10">
        <v>1.3849699999999999E-3</v>
      </c>
      <c r="P125" s="10">
        <v>4.7565649999999999E-3</v>
      </c>
      <c r="Q125" s="10">
        <v>3.2777650000000002E-3</v>
      </c>
      <c r="R125" s="10">
        <v>3.1329678999999999E-2</v>
      </c>
    </row>
    <row r="126" spans="1:18" ht="15" x14ac:dyDescent="0.25">
      <c r="A126" s="9">
        <v>116</v>
      </c>
      <c r="B126" s="10">
        <v>-7.9345425999999997E-2</v>
      </c>
      <c r="C126" s="10">
        <v>7.9744600000000005E-4</v>
      </c>
      <c r="D126" s="10">
        <v>5.0963470000000002E-3</v>
      </c>
      <c r="E126" s="10">
        <v>6.2256960000000002E-3</v>
      </c>
      <c r="F126" s="10">
        <v>8.0835552000000005E-2</v>
      </c>
      <c r="G126" s="17">
        <v>-1.1186498929949273E-7</v>
      </c>
      <c r="H126"/>
      <c r="I126"/>
      <c r="J126" s="11"/>
      <c r="K126"/>
      <c r="L126"/>
      <c r="M126" s="9">
        <v>116</v>
      </c>
      <c r="N126" s="10">
        <v>-5.3156533999999998E-2</v>
      </c>
      <c r="O126" s="10">
        <v>1.3057240000000001E-3</v>
      </c>
      <c r="P126" s="10">
        <v>3.8052519999999999E-3</v>
      </c>
      <c r="Q126" s="10">
        <v>2.9973270000000002E-3</v>
      </c>
      <c r="R126" s="10">
        <v>3.1329678999999999E-2</v>
      </c>
    </row>
    <row r="127" spans="1:18" ht="15" x14ac:dyDescent="0.25">
      <c r="A127" s="9">
        <v>117</v>
      </c>
      <c r="B127" s="10">
        <v>-6.7425104E-2</v>
      </c>
      <c r="C127" s="10">
        <v>7.4466500000000004E-4</v>
      </c>
      <c r="D127" s="10">
        <v>3.8222600000000001E-3</v>
      </c>
      <c r="E127" s="10">
        <v>5.124661E-3</v>
      </c>
      <c r="F127" s="10">
        <v>8.0835552000000005E-2</v>
      </c>
      <c r="G127" s="17">
        <v>-1.1186498929949273E-7</v>
      </c>
      <c r="H127"/>
      <c r="I127"/>
      <c r="J127" s="11"/>
      <c r="K127"/>
      <c r="L127"/>
      <c r="M127" s="9">
        <v>117</v>
      </c>
      <c r="N127" s="10">
        <v>-4.1464142000000002E-2</v>
      </c>
      <c r="O127" s="10">
        <v>1.231013E-3</v>
      </c>
      <c r="P127" s="10">
        <v>2.8539390000000002E-3</v>
      </c>
      <c r="Q127" s="10">
        <v>2.7639209999999999E-3</v>
      </c>
      <c r="R127" s="10">
        <v>3.1329678999999999E-2</v>
      </c>
    </row>
    <row r="128" spans="1:18" ht="15" x14ac:dyDescent="0.25">
      <c r="A128" s="9">
        <v>118</v>
      </c>
      <c r="B128" s="10">
        <v>-5.7018392000000001E-2</v>
      </c>
      <c r="C128" s="10">
        <v>6.9537799999999997E-4</v>
      </c>
      <c r="D128" s="10">
        <v>2.5481739999999998E-3</v>
      </c>
      <c r="E128" s="10">
        <v>4.0285870000000001E-3</v>
      </c>
      <c r="F128" s="10">
        <v>8.0835552000000005E-2</v>
      </c>
      <c r="G128" s="17">
        <v>-1.1186498929949273E-7</v>
      </c>
      <c r="H128"/>
      <c r="I128"/>
      <c r="J128" s="11"/>
      <c r="K128"/>
      <c r="L128"/>
      <c r="M128" s="9">
        <v>118</v>
      </c>
      <c r="N128" s="10">
        <v>-3.1519700999999997E-2</v>
      </c>
      <c r="O128" s="10">
        <v>1.160576E-3</v>
      </c>
      <c r="P128" s="10">
        <v>1.9026259999999999E-3</v>
      </c>
      <c r="Q128" s="10">
        <v>2.5748709999999998E-3</v>
      </c>
      <c r="R128" s="10">
        <v>3.1329678999999999E-2</v>
      </c>
    </row>
    <row r="129" spans="1:18" ht="15" x14ac:dyDescent="0.25">
      <c r="A129" s="9">
        <v>119</v>
      </c>
      <c r="B129" s="10">
        <v>-4.7959978E-2</v>
      </c>
      <c r="C129" s="10">
        <v>6.4935299999999997E-4</v>
      </c>
      <c r="D129" s="10">
        <v>1.2740869999999999E-3</v>
      </c>
      <c r="E129" s="10">
        <v>2.9399669999999999E-3</v>
      </c>
      <c r="F129" s="10">
        <v>8.0835552000000005E-2</v>
      </c>
      <c r="G129" s="17">
        <v>-1.1186498929949273E-7</v>
      </c>
      <c r="H129"/>
      <c r="I129"/>
      <c r="J129" s="11"/>
      <c r="K129"/>
      <c r="L129"/>
      <c r="M129" s="9">
        <v>119</v>
      </c>
      <c r="N129" s="10">
        <v>-2.3105025000000001E-2</v>
      </c>
      <c r="O129" s="10">
        <v>1.09417E-3</v>
      </c>
      <c r="P129" s="10">
        <v>9.5131299999999996E-4</v>
      </c>
      <c r="Q129" s="10">
        <v>2.4271840000000002E-3</v>
      </c>
      <c r="R129" s="10">
        <v>3.1329678999999999E-2</v>
      </c>
    </row>
    <row r="130" spans="1:18" ht="15" x14ac:dyDescent="0.25">
      <c r="A130" s="9">
        <v>120</v>
      </c>
      <c r="B130" s="10">
        <v>-4.0098156000000003E-2</v>
      </c>
      <c r="C130" s="10">
        <v>6.0637400000000002E-4</v>
      </c>
      <c r="D130" s="10">
        <v>0</v>
      </c>
      <c r="E130" s="10">
        <v>1.860591E-3</v>
      </c>
      <c r="F130" s="10">
        <v>8.0835552000000005E-2</v>
      </c>
      <c r="G130" s="17">
        <v>-1.1186498929949273E-7</v>
      </c>
      <c r="H130"/>
      <c r="I130"/>
      <c r="J130" s="11"/>
      <c r="K130"/>
      <c r="L130"/>
      <c r="M130" s="9">
        <v>120</v>
      </c>
      <c r="N130" s="10">
        <v>-1.6023196999999999E-2</v>
      </c>
      <c r="O130" s="10">
        <v>1.031564E-3</v>
      </c>
      <c r="P130" s="10">
        <v>0</v>
      </c>
      <c r="Q130" s="10">
        <v>2.3176989999999999E-3</v>
      </c>
      <c r="R130" s="10">
        <v>3.1329678999999999E-2</v>
      </c>
    </row>
    <row r="131" spans="1:18" ht="15" x14ac:dyDescent="0.25">
      <c r="A131"/>
      <c r="B131"/>
      <c r="C131"/>
      <c r="D131"/>
      <c r="E131"/>
      <c r="F131"/>
      <c r="G131"/>
      <c r="H131"/>
      <c r="I131"/>
      <c r="J131" s="11" t="s">
        <v>0</v>
      </c>
      <c r="K131"/>
      <c r="L131"/>
      <c r="M131"/>
      <c r="N131"/>
      <c r="O131"/>
      <c r="P131"/>
      <c r="Q131"/>
      <c r="R131"/>
    </row>
    <row r="132" spans="1:18" ht="15" x14ac:dyDescent="0.25">
      <c r="A132"/>
      <c r="B132"/>
      <c r="C132"/>
      <c r="D132"/>
      <c r="E132"/>
      <c r="F132"/>
      <c r="G132"/>
      <c r="H132"/>
      <c r="I132"/>
      <c r="J132" s="11" t="s">
        <v>0</v>
      </c>
      <c r="K132"/>
      <c r="L132"/>
      <c r="M132"/>
      <c r="N132"/>
      <c r="O132"/>
      <c r="P132"/>
      <c r="Q132"/>
      <c r="R132"/>
    </row>
  </sheetData>
  <mergeCells count="2">
    <mergeCell ref="A8:J8"/>
    <mergeCell ref="M8:V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13025-32EC-4D33-908D-5FD84470B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0C5550-9715-4344-9D64-3ECC1807F2DA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customXml/itemProps3.xml><?xml version="1.0" encoding="utf-8"?>
<ds:datastoreItem xmlns:ds="http://schemas.openxmlformats.org/officeDocument/2006/customXml" ds:itemID="{4A14A439-0D17-4218-9DAA-40A8E30F6C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Parameterwaarden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fvberku1</dc:creator>
  <cp:lastModifiedBy>Frank Tesselaar</cp:lastModifiedBy>
  <dcterms:created xsi:type="dcterms:W3CDTF">2024-05-01T17:00:07Z</dcterms:created>
  <dcterms:modified xsi:type="dcterms:W3CDTF">2026-04-01T16:46:05Z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